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Analyst\Excel\vlookuphw\"/>
    </mc:Choice>
  </mc:AlternateContent>
  <xr:revisionPtr revIDLastSave="0" documentId="13_ncr:1_{7D0A3001-261A-442C-81D8-21670DCF16CA}" xr6:coauthVersionLast="47" xr6:coauthVersionMax="47" xr10:uidLastSave="{00000000-0000-0000-0000-000000000000}"/>
  <bookViews>
    <workbookView xWindow="0" yWindow="0" windowWidth="23040" windowHeight="12240" xr2:uid="{1A6DFFAF-10EB-406B-B9CB-C42B50D2E0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6" i="1" l="1"/>
  <c r="C50" i="1"/>
  <c r="C45" i="1"/>
  <c r="C41" i="1"/>
  <c r="C37" i="1"/>
  <c r="C27" i="1"/>
  <c r="C32" i="1"/>
  <c r="C23" i="1"/>
  <c r="D8" i="1"/>
  <c r="C8" i="1"/>
  <c r="C13" i="1"/>
  <c r="C18" i="1"/>
</calcChain>
</file>

<file path=xl/sharedStrings.xml><?xml version="1.0" encoding="utf-8"?>
<sst xmlns="http://schemas.openxmlformats.org/spreadsheetml/2006/main" count="50" uniqueCount="46">
  <si>
    <t>SaleID</t>
  </si>
  <si>
    <t>Date</t>
  </si>
  <si>
    <t>CustomerName</t>
  </si>
  <si>
    <t>ProductName</t>
  </si>
  <si>
    <t>Category</t>
  </si>
  <si>
    <t>Quantity</t>
  </si>
  <si>
    <t>UnitPrice</t>
  </si>
  <si>
    <t>TotalAmount</t>
  </si>
  <si>
    <t>SalesPerson</t>
  </si>
  <si>
    <t>Region</t>
  </si>
  <si>
    <t>PaymentMethod</t>
  </si>
  <si>
    <t>Status</t>
  </si>
  <si>
    <t>Amit Shah</t>
  </si>
  <si>
    <t>Laptop</t>
  </si>
  <si>
    <t>Electronics</t>
  </si>
  <si>
    <t>Rahul</t>
  </si>
  <si>
    <t>West</t>
  </si>
  <si>
    <t>Credit Card</t>
  </si>
  <si>
    <t>Completed</t>
  </si>
  <si>
    <t>Mahesh More</t>
  </si>
  <si>
    <t>Mobile</t>
  </si>
  <si>
    <t>Neha</t>
  </si>
  <si>
    <t>North</t>
  </si>
  <si>
    <t>UPI</t>
  </si>
  <si>
    <t>Tanvi Joshi</t>
  </si>
  <si>
    <t>Washing Machine</t>
  </si>
  <si>
    <t>Home Appliance</t>
  </si>
  <si>
    <t>Rohit</t>
  </si>
  <si>
    <t>South</t>
  </si>
  <si>
    <t>Debit Card</t>
  </si>
  <si>
    <t>Pending</t>
  </si>
  <si>
    <t>Vaishnavi Patil</t>
  </si>
  <si>
    <t>Refrigerator</t>
  </si>
  <si>
    <t>Pooja</t>
  </si>
  <si>
    <t>East</t>
  </si>
  <si>
    <t>Cash</t>
  </si>
  <si>
    <r>
      <t>Question 1:</t>
    </r>
    <r>
      <rPr>
        <sz val="11"/>
        <color theme="1"/>
        <rFont val="Calibri"/>
        <family val="2"/>
        <scheme val="minor"/>
      </rPr>
      <t xml:space="preserve"> Get ProductName for SaleID = 2</t>
    </r>
  </si>
  <si>
    <r>
      <t>Question 2:</t>
    </r>
    <r>
      <rPr>
        <sz val="11"/>
        <color theme="1"/>
        <rFont val="Calibri"/>
        <family val="2"/>
        <scheme val="minor"/>
      </rPr>
      <t xml:space="preserve"> Get UnitPrice for "Mahesh More"</t>
    </r>
  </si>
  <si>
    <r>
      <rPr>
        <b/>
        <sz val="11"/>
        <color theme="1"/>
        <rFont val="Calibri"/>
        <family val="2"/>
        <scheme val="minor"/>
      </rPr>
      <t>Question 3:</t>
    </r>
    <r>
      <rPr>
        <sz val="11"/>
        <color theme="1"/>
        <rFont val="Calibri"/>
        <family val="2"/>
        <scheme val="minor"/>
      </rPr>
      <t>Find Quantity Sold using SaleID=3</t>
    </r>
  </si>
  <si>
    <r>
      <rPr>
        <b/>
        <sz val="11"/>
        <color theme="1"/>
        <rFont val="Calibri"/>
        <family val="2"/>
        <scheme val="minor"/>
      </rPr>
      <t>Question 5:</t>
    </r>
    <r>
      <rPr>
        <sz val="11"/>
        <color theme="1"/>
        <rFont val="Calibri"/>
        <family val="2"/>
        <scheme val="minor"/>
      </rPr>
      <t>Find SalesPerson using SaleID=1</t>
    </r>
  </si>
  <si>
    <r>
      <rPr>
        <b/>
        <sz val="11"/>
        <color theme="1"/>
        <rFont val="Calibri"/>
        <family val="2"/>
        <scheme val="minor"/>
      </rPr>
      <t>Question 4:</t>
    </r>
    <r>
      <rPr>
        <sz val="11"/>
        <color theme="1"/>
        <rFont val="Calibri"/>
        <family val="2"/>
        <scheme val="minor"/>
      </rPr>
      <t xml:space="preserve"> Find Region using SaleID=4</t>
    </r>
  </si>
  <si>
    <r>
      <rPr>
        <b/>
        <sz val="11"/>
        <color theme="1"/>
        <rFont val="Calibri"/>
        <family val="2"/>
        <scheme val="minor"/>
      </rPr>
      <t>Question 6:</t>
    </r>
    <r>
      <rPr>
        <sz val="11"/>
        <color theme="1"/>
        <rFont val="Calibri"/>
        <family val="2"/>
        <scheme val="minor"/>
      </rPr>
      <t>Find Payment Method using CustomerName="Vaishnavi Patil"</t>
    </r>
  </si>
  <si>
    <r>
      <rPr>
        <b/>
        <sz val="11"/>
        <color theme="1"/>
        <rFont val="Calibri"/>
        <family val="2"/>
        <scheme val="minor"/>
      </rPr>
      <t>Question 7:</t>
    </r>
    <r>
      <rPr>
        <sz val="11"/>
        <color theme="1"/>
        <rFont val="Calibri"/>
        <family val="2"/>
        <scheme val="minor"/>
      </rPr>
      <t>Find TotalAmount using ProductName =Refrigerator</t>
    </r>
  </si>
  <si>
    <r>
      <rPr>
        <b/>
        <sz val="11"/>
        <color theme="1"/>
        <rFont val="Calibri"/>
        <family val="2"/>
        <scheme val="minor"/>
      </rPr>
      <t>Question 8:</t>
    </r>
    <r>
      <rPr>
        <sz val="11"/>
        <color theme="1"/>
        <rFont val="Calibri"/>
        <family val="2"/>
        <scheme val="minor"/>
      </rPr>
      <t>Find Status using SaleID=3</t>
    </r>
  </si>
  <si>
    <r>
      <rPr>
        <b/>
        <sz val="11"/>
        <color theme="1"/>
        <rFont val="Calibri"/>
        <family val="2"/>
        <scheme val="minor"/>
      </rPr>
      <t>Question 9:</t>
    </r>
    <r>
      <rPr>
        <sz val="11"/>
        <color theme="1"/>
        <rFont val="Calibri"/>
        <family val="2"/>
        <scheme val="minor"/>
      </rPr>
      <t>Find Category using CustomerName="Tanvi Joshi"</t>
    </r>
  </si>
  <si>
    <r>
      <rPr>
        <b/>
        <sz val="11"/>
        <color theme="1"/>
        <rFont val="Calibri"/>
        <family val="2"/>
        <scheme val="minor"/>
      </rPr>
      <t>Question 10:F</t>
    </r>
    <r>
      <rPr>
        <sz val="11"/>
        <color theme="1"/>
        <rFont val="Calibri"/>
        <family val="2"/>
        <scheme val="minor"/>
      </rPr>
      <t>ind Date using SaleID=1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</si>
</sst>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m/d/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1" fillId="0" borderId="0" xfId="0" applyFont="1"/>
    <xf numFmtId="170" fontId="0" fillId="0" borderId="0" xfId="0" applyNumberFormat="1"/>
  </cellXfs>
  <cellStyles count="1">
    <cellStyle name="Normal" xfId="0" builtinId="0"/>
  </cellStyles>
  <dxfs count="1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m/d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D87734-6C5E-4F71-8BD3-3D8ED5F3D144}" name="Table1" displayName="Table1" ref="A1:L5" totalsRowShown="0" headerRowDxfId="0" dataDxfId="1">
  <autoFilter ref="A1:L5" xr:uid="{B6D87734-6C5E-4F71-8BD3-3D8ED5F3D144}"/>
  <tableColumns count="12">
    <tableColumn id="1" xr3:uid="{86927553-486A-461C-95F1-271687252B1A}" name="SaleID" dataDxfId="13"/>
    <tableColumn id="2" xr3:uid="{5D9C56B4-9E2E-4459-8577-1C36CEDC22D3}" name="Date" dataDxfId="12"/>
    <tableColumn id="3" xr3:uid="{329406CF-0A3D-4054-B382-131ED6D7BD30}" name="CustomerName" dataDxfId="11"/>
    <tableColumn id="4" xr3:uid="{3F51F779-5AA1-40B6-9D3D-D005846904C2}" name="ProductName" dataDxfId="10"/>
    <tableColumn id="5" xr3:uid="{D4A98B6A-CE68-4877-96D3-EA458D622149}" name="Category" dataDxfId="9"/>
    <tableColumn id="6" xr3:uid="{940B42CC-26D4-487C-9B09-478F96EE2672}" name="Quantity" dataDxfId="8"/>
    <tableColumn id="7" xr3:uid="{76569C6F-6FF0-412D-9B1D-8DC5719B953E}" name="UnitPrice" dataDxfId="7"/>
    <tableColumn id="8" xr3:uid="{A16FF1A0-AEF3-4575-A0A9-4CF9DB8CBF5C}" name="TotalAmount" dataDxfId="6"/>
    <tableColumn id="9" xr3:uid="{8882F16D-A05B-478F-884A-4B56207933A6}" name="SalesPerson" dataDxfId="5"/>
    <tableColumn id="10" xr3:uid="{D66C121B-A64F-4D3E-8D97-32396CE45992}" name="Region" dataDxfId="4"/>
    <tableColumn id="11" xr3:uid="{BDCDA021-A78F-4833-95BF-4AF2136688FF}" name="PaymentMethod" dataDxfId="3"/>
    <tableColumn id="12" xr3:uid="{6588649A-6FD8-4175-9096-693B842F5856}" name="Status" dataDxfId="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FACD8-4D63-4E81-ADC6-4A57FA429F5F}">
  <dimension ref="A1:L56"/>
  <sheetViews>
    <sheetView tabSelected="1" topLeftCell="A38" zoomScale="130" zoomScaleNormal="130" workbookViewId="0">
      <selection activeCell="E55" sqref="E55"/>
    </sheetView>
  </sheetViews>
  <sheetFormatPr defaultRowHeight="14.4" x14ac:dyDescent="0.3"/>
  <cols>
    <col min="2" max="2" width="11.33203125" customWidth="1"/>
    <col min="3" max="3" width="16.5546875" customWidth="1"/>
    <col min="4" max="4" width="14.109375" customWidth="1"/>
    <col min="5" max="5" width="9.77734375" customWidth="1"/>
    <col min="6" max="6" width="9.6640625" customWidth="1"/>
    <col min="7" max="7" width="10.21875" customWidth="1"/>
    <col min="8" max="8" width="13.5546875" customWidth="1"/>
    <col min="9" max="9" width="12.5546875" customWidth="1"/>
    <col min="11" max="11" width="16.6640625" customWidth="1"/>
  </cols>
  <sheetData>
    <row r="1" spans="1:12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28.8" x14ac:dyDescent="0.3">
      <c r="A2" s="2">
        <v>1</v>
      </c>
      <c r="B2" s="3">
        <v>45292</v>
      </c>
      <c r="C2" s="2" t="s">
        <v>12</v>
      </c>
      <c r="D2" s="2" t="s">
        <v>13</v>
      </c>
      <c r="E2" s="2" t="s">
        <v>14</v>
      </c>
      <c r="F2" s="2">
        <v>1</v>
      </c>
      <c r="G2" s="2">
        <v>55000</v>
      </c>
      <c r="H2" s="2">
        <v>55000</v>
      </c>
      <c r="I2" s="2" t="s">
        <v>15</v>
      </c>
      <c r="J2" s="2" t="s">
        <v>16</v>
      </c>
      <c r="K2" s="2" t="s">
        <v>17</v>
      </c>
      <c r="L2" s="2" t="s">
        <v>18</v>
      </c>
    </row>
    <row r="3" spans="1:12" ht="28.8" x14ac:dyDescent="0.3">
      <c r="A3" s="2">
        <v>2</v>
      </c>
      <c r="B3" s="3">
        <v>45323</v>
      </c>
      <c r="C3" s="2" t="s">
        <v>19</v>
      </c>
      <c r="D3" s="2" t="s">
        <v>20</v>
      </c>
      <c r="E3" s="2" t="s">
        <v>14</v>
      </c>
      <c r="F3" s="2">
        <v>2</v>
      </c>
      <c r="G3" s="2">
        <v>15000</v>
      </c>
      <c r="H3" s="2">
        <v>30000</v>
      </c>
      <c r="I3" s="2" t="s">
        <v>21</v>
      </c>
      <c r="J3" s="2" t="s">
        <v>22</v>
      </c>
      <c r="K3" s="2" t="s">
        <v>23</v>
      </c>
      <c r="L3" s="2" t="s">
        <v>18</v>
      </c>
    </row>
    <row r="4" spans="1:12" ht="28.8" x14ac:dyDescent="0.3">
      <c r="A4" s="2">
        <v>3</v>
      </c>
      <c r="B4" s="3">
        <v>45352</v>
      </c>
      <c r="C4" s="2" t="s">
        <v>24</v>
      </c>
      <c r="D4" s="2" t="s">
        <v>25</v>
      </c>
      <c r="E4" s="2" t="s">
        <v>26</v>
      </c>
      <c r="F4" s="2">
        <v>1</v>
      </c>
      <c r="G4" s="2">
        <v>28000</v>
      </c>
      <c r="H4" s="2">
        <v>28000</v>
      </c>
      <c r="I4" s="2" t="s">
        <v>27</v>
      </c>
      <c r="J4" s="2" t="s">
        <v>28</v>
      </c>
      <c r="K4" s="2" t="s">
        <v>29</v>
      </c>
      <c r="L4" s="2" t="s">
        <v>30</v>
      </c>
    </row>
    <row r="5" spans="1:12" ht="28.8" x14ac:dyDescent="0.3">
      <c r="A5" s="2">
        <v>4</v>
      </c>
      <c r="B5" s="3">
        <v>45383</v>
      </c>
      <c r="C5" s="2" t="s">
        <v>31</v>
      </c>
      <c r="D5" s="2" t="s">
        <v>32</v>
      </c>
      <c r="E5" s="2" t="s">
        <v>26</v>
      </c>
      <c r="F5" s="2">
        <v>1</v>
      </c>
      <c r="G5" s="2">
        <v>42000</v>
      </c>
      <c r="H5" s="2">
        <v>42000</v>
      </c>
      <c r="I5" s="2" t="s">
        <v>33</v>
      </c>
      <c r="J5" s="2" t="s">
        <v>34</v>
      </c>
      <c r="K5" s="2" t="s">
        <v>35</v>
      </c>
      <c r="L5" s="2" t="s">
        <v>18</v>
      </c>
    </row>
    <row r="8" spans="1:12" x14ac:dyDescent="0.3">
      <c r="C8" t="str">
        <f>VLOOKUP(2,A2:L5,4,FALSE)</f>
        <v>Mobile</v>
      </c>
      <c r="D8">
        <f>VLOOKUP("Mahesh More",C2:L5,5,FALSE)</f>
        <v>15000</v>
      </c>
    </row>
    <row r="11" spans="1:12" x14ac:dyDescent="0.3">
      <c r="B11" s="4" t="s">
        <v>36</v>
      </c>
    </row>
    <row r="13" spans="1:12" x14ac:dyDescent="0.3">
      <c r="C13" t="str">
        <f>VLOOKUP(2, A2:L5, 4,FALSE)</f>
        <v>Mobile</v>
      </c>
    </row>
    <row r="16" spans="1:12" x14ac:dyDescent="0.3">
      <c r="B16" s="4" t="s">
        <v>37</v>
      </c>
    </row>
    <row r="18" spans="2:3" x14ac:dyDescent="0.3">
      <c r="C18">
        <f>VLOOKUP("Mahesh More", C2:L5, 5, FALSE)</f>
        <v>15000</v>
      </c>
    </row>
    <row r="21" spans="2:3" x14ac:dyDescent="0.3">
      <c r="B21" t="s">
        <v>38</v>
      </c>
    </row>
    <row r="23" spans="2:3" x14ac:dyDescent="0.3">
      <c r="C23">
        <f>VLOOKUP(3, A2:L5, 6, FALSE)</f>
        <v>1</v>
      </c>
    </row>
    <row r="25" spans="2:3" x14ac:dyDescent="0.3">
      <c r="B25" t="s">
        <v>40</v>
      </c>
    </row>
    <row r="27" spans="2:3" x14ac:dyDescent="0.3">
      <c r="C27" t="str">
        <f>VLOOKUP(4, A2:L5, 10, FALSE)</f>
        <v>East</v>
      </c>
    </row>
    <row r="30" spans="2:3" x14ac:dyDescent="0.3">
      <c r="B30" t="s">
        <v>39</v>
      </c>
    </row>
    <row r="32" spans="2:3" x14ac:dyDescent="0.3">
      <c r="C32" t="str">
        <f>VLOOKUP(1, A2:L5, 9, FALSE)</f>
        <v>Rahul</v>
      </c>
    </row>
    <row r="35" spans="2:3" x14ac:dyDescent="0.3">
      <c r="B35" t="s">
        <v>41</v>
      </c>
    </row>
    <row r="37" spans="2:3" x14ac:dyDescent="0.3">
      <c r="C37" t="str">
        <f>VLOOKUP("Vaishnavi Patil", C2:L5, 9, FALSE)</f>
        <v>Cash</v>
      </c>
    </row>
    <row r="39" spans="2:3" x14ac:dyDescent="0.3">
      <c r="B39" t="s">
        <v>42</v>
      </c>
    </row>
    <row r="41" spans="2:3" x14ac:dyDescent="0.3">
      <c r="C41">
        <f>VLOOKUP("Refrigerator", D2:L5, 5, FALSE)</f>
        <v>42000</v>
      </c>
    </row>
    <row r="43" spans="2:3" x14ac:dyDescent="0.3">
      <c r="B43" t="s">
        <v>43</v>
      </c>
    </row>
    <row r="45" spans="2:3" x14ac:dyDescent="0.3">
      <c r="C45" t="str">
        <f>VLOOKUP(3, A2:L5, 12, FALSE)</f>
        <v>Pending</v>
      </c>
    </row>
    <row r="48" spans="2:3" x14ac:dyDescent="0.3">
      <c r="B48" t="s">
        <v>44</v>
      </c>
    </row>
    <row r="50" spans="2:3" x14ac:dyDescent="0.3">
      <c r="C50" t="str">
        <f>VLOOKUP("Tanvi Joshi", C2:L5, 3, FALSE)</f>
        <v>Home Appliance</v>
      </c>
    </row>
    <row r="54" spans="2:3" x14ac:dyDescent="0.3">
      <c r="B54" t="s">
        <v>45</v>
      </c>
    </row>
    <row r="56" spans="2:3" x14ac:dyDescent="0.3">
      <c r="C56" s="5">
        <f>VLOOKUP(1,A2:L5, 2, FALSE)</f>
        <v>45292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priti Gaikwad</dc:creator>
  <cp:lastModifiedBy>priti Gaikwad</cp:lastModifiedBy>
  <dcterms:created xsi:type="dcterms:W3CDTF">2025-12-25T07:06:05Z</dcterms:created>
  <dcterms:modified xsi:type="dcterms:W3CDTF">2025-12-25T08:33:10Z</dcterms:modified>
</cp:coreProperties>
</file>