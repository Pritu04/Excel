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vlookuphw\"/>
    </mc:Choice>
  </mc:AlternateContent>
  <xr:revisionPtr revIDLastSave="0" documentId="13_ncr:1_{F7AC81BC-4E50-4B40-B280-8BEBC0F4A1BB}" xr6:coauthVersionLast="47" xr6:coauthVersionMax="47" xr10:uidLastSave="{00000000-0000-0000-0000-000000000000}"/>
  <bookViews>
    <workbookView xWindow="-108" yWindow="-108" windowWidth="23256" windowHeight="12456" xr2:uid="{87CFD858-0C59-4A7A-89DF-5A43856E8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8" i="1" l="1"/>
  <c r="C74" i="1"/>
  <c r="C70" i="1"/>
  <c r="C66" i="1"/>
  <c r="C62" i="1"/>
  <c r="C58" i="1"/>
  <c r="C54" i="1"/>
  <c r="C47" i="1"/>
  <c r="C42" i="1"/>
  <c r="C37" i="1"/>
</calcChain>
</file>

<file path=xl/sharedStrings.xml><?xml version="1.0" encoding="utf-8"?>
<sst xmlns="http://schemas.openxmlformats.org/spreadsheetml/2006/main" count="232" uniqueCount="101">
  <si>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</si>
  <si>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</si>
  <si>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</si>
  <si>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</si>
  <si>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</si>
  <si>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</si>
  <si>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</si>
  <si>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</si>
  <si>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</si>
  <si>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</si>
  <si>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</si>
  <si>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</si>
  <si>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</si>
  <si>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</si>
  <si>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</si>
  <si>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</si>
  <si>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</si>
  <si>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</si>
  <si>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</si>
  <si>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</si>
  <si>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</si>
  <si>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</si>
  <si>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</si>
  <si>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</si>
  <si>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</si>
  <si>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</si>
  <si>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</si>
  <si>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</si>
  <si>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</si>
  <si>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</si>
  <si>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</si>
  <si>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</si>
  <si>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</si>
  <si>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</si>
  <si>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</si>
  <si>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</si>
  <si>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</si>
  <si>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</si>
  <si>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</si>
  <si>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</si>
  <si>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</si>
  <si>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</si>
  <si>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</si>
  <si>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</si>
  <si>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</si>
  <si>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</si>
  <si>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</si>
  <si>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</si>
  <si>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</si>
  <si>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</si>
  <si>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</si>
  <si>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</si>
  <si>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</si>
  <si>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</si>
  <si>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</si>
  <si>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</si>
  <si>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</si>
  <si>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</si>
  <si>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</si>
  <si>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</si>
  <si>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</si>
  <si>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</si>
  <si>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</si>
  <si>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</si>
  <si>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</si>
  <si>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</si>
  <si>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</si>
  <si>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</si>
  <si>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</si>
  <si>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</si>
  <si>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</si>
  <si>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</si>
  <si>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</si>
  <si>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</si>
  <si>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</si>
  <si>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</si>
  <si>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</si>
  <si>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</si>
  <si>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</si>
  <si>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</si>
  <si>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</si>
  <si>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</si>
  <si>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</si>
  <si>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</si>
  <si>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</si>
  <si>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</si>
  <si>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</si>
  <si>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</si>
  <si>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</si>
  <si>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</si>
  <si>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</si>
  <si>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t xml:space="preserve">Write a VLOOKUP formula to return the </t>
    </r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>.</t>
    </r>
  </si>
  <si>
    <r>
      <t xml:space="preserve">Using VLOOKUP, fetch the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of the product purchased by </t>
    </r>
    <r>
      <rPr>
        <b/>
        <sz val="11"/>
        <color theme="1"/>
        <rFont val="Calibri"/>
        <family val="2"/>
        <scheme val="minor"/>
      </rPr>
      <t>CustomerName = "Mahesh More"</t>
    </r>
    <r>
      <rPr>
        <sz val="11"/>
        <color theme="1"/>
        <rFont val="Calibri"/>
        <family val="2"/>
        <scheme val="minor"/>
      </rPr>
      <t>.</t>
    </r>
  </si>
  <si>
    <r>
      <t xml:space="preserve">Use VLOOKUP to find the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>.</t>
    </r>
  </si>
  <si>
    <t>Write a VLOOKUP formula to return the Region where SaleID = 19 was made.</t>
  </si>
  <si>
    <t>Using VLOOKUP, get the SalesPerson who handled the sale for SaleID = 5.</t>
  </si>
  <si>
    <t>Use VLOOKUP to find the PaymentMethod used for Customer = "Vaishnavi Patil".</t>
  </si>
  <si>
    <t>Create a VLOOKUP formula that returns the TotalAmount for ProductName = "Refrigerator".</t>
  </si>
  <si>
    <t>Return the Status of the sale for SaleID = 8 using VLOOKUP.</t>
  </si>
  <si>
    <t>Using VLOOKUP, find the Category of the product purchased by Customer = "Tanvi Joshi".</t>
  </si>
  <si>
    <t>Write a VLOOKUP formula to get the Date of the transaction for SaleID = 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</si>
</sst>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ECD9-4986-4B4B-84A7-2CF060C4C257}">
  <dimension ref="A1:L78"/>
  <sheetViews>
    <sheetView tabSelected="1" topLeftCell="A65" zoomScale="175" zoomScaleNormal="175" workbookViewId="0">
      <selection activeCell="C79" sqref="C79"/>
    </sheetView>
  </sheetViews>
  <sheetFormatPr defaultRowHeight="14.4" x14ac:dyDescent="0.3"/>
  <cols>
    <col min="1" max="1" width="6.21875" bestFit="1" customWidth="1"/>
    <col min="2" max="2" width="10.33203125" bestFit="1" customWidth="1"/>
    <col min="3" max="3" width="16.21875" bestFit="1" customWidth="1"/>
    <col min="4" max="4" width="16.109375" bestFit="1" customWidth="1"/>
    <col min="5" max="5" width="15.109375" bestFit="1" customWidth="1"/>
    <col min="6" max="6" width="8.33203125" bestFit="1" customWidth="1"/>
    <col min="7" max="7" width="18.21875" customWidth="1"/>
    <col min="8" max="8" width="12.109375" bestFit="1" customWidth="1"/>
    <col min="9" max="9" width="12.77734375" bestFit="1" customWidth="1"/>
    <col min="10" max="10" width="6.77734375" bestFit="1" customWidth="1"/>
    <col min="11" max="11" width="15.44140625" bestFit="1" customWidth="1"/>
    <col min="12" max="12" width="6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</v>
      </c>
      <c r="B2" s="4">
        <v>45660</v>
      </c>
      <c r="C2" s="3" t="s">
        <v>12</v>
      </c>
      <c r="D2" s="3" t="s">
        <v>13</v>
      </c>
      <c r="E2" s="3" t="s">
        <v>14</v>
      </c>
      <c r="F2" s="5">
        <v>1</v>
      </c>
      <c r="G2" s="5">
        <v>55000</v>
      </c>
      <c r="H2" s="3">
        <v>55000</v>
      </c>
      <c r="I2" s="5" t="s">
        <v>15</v>
      </c>
      <c r="J2" s="5" t="s">
        <v>16</v>
      </c>
      <c r="K2" s="5" t="s">
        <v>17</v>
      </c>
      <c r="L2" s="5" t="s">
        <v>18</v>
      </c>
    </row>
    <row r="3" spans="1:12" x14ac:dyDescent="0.3">
      <c r="A3" s="3">
        <v>2</v>
      </c>
      <c r="B3" s="4">
        <v>45661</v>
      </c>
      <c r="C3" s="3" t="s">
        <v>19</v>
      </c>
      <c r="D3" s="3" t="s">
        <v>20</v>
      </c>
      <c r="E3" s="3" t="s">
        <v>14</v>
      </c>
      <c r="F3" s="5">
        <v>2</v>
      </c>
      <c r="G3" s="5">
        <v>18000</v>
      </c>
      <c r="H3" s="3">
        <v>36000</v>
      </c>
      <c r="I3" s="5" t="s">
        <v>21</v>
      </c>
      <c r="J3" s="5" t="s">
        <v>22</v>
      </c>
      <c r="K3" s="5" t="s">
        <v>23</v>
      </c>
      <c r="L3" s="5" t="s">
        <v>18</v>
      </c>
    </row>
    <row r="4" spans="1:12" x14ac:dyDescent="0.3">
      <c r="A4" s="3">
        <v>3</v>
      </c>
      <c r="B4" s="4">
        <v>45662</v>
      </c>
      <c r="C4" s="3" t="s">
        <v>24</v>
      </c>
      <c r="D4" s="3" t="s">
        <v>25</v>
      </c>
      <c r="E4" s="3" t="s">
        <v>26</v>
      </c>
      <c r="F4" s="5">
        <v>3</v>
      </c>
      <c r="G4" s="5">
        <v>4500</v>
      </c>
      <c r="H4" s="3">
        <v>13500</v>
      </c>
      <c r="I4" s="5" t="s">
        <v>27</v>
      </c>
      <c r="J4" s="5" t="s">
        <v>28</v>
      </c>
      <c r="K4" s="5" t="s">
        <v>17</v>
      </c>
      <c r="L4" s="5" t="s">
        <v>18</v>
      </c>
    </row>
    <row r="5" spans="1:12" x14ac:dyDescent="0.3">
      <c r="A5" s="6">
        <v>4</v>
      </c>
      <c r="B5" s="7">
        <v>45663</v>
      </c>
      <c r="C5" s="6" t="s">
        <v>29</v>
      </c>
      <c r="D5" s="6" t="s">
        <v>30</v>
      </c>
      <c r="E5" s="6" t="s">
        <v>31</v>
      </c>
      <c r="F5" s="8">
        <v>1</v>
      </c>
      <c r="G5" s="8">
        <v>7000</v>
      </c>
      <c r="H5" s="6">
        <v>7000</v>
      </c>
      <c r="I5" s="5" t="s">
        <v>32</v>
      </c>
      <c r="J5" s="5" t="s">
        <v>33</v>
      </c>
      <c r="K5" s="5" t="s">
        <v>34</v>
      </c>
      <c r="L5" s="5" t="s">
        <v>18</v>
      </c>
    </row>
    <row r="6" spans="1:12" x14ac:dyDescent="0.3">
      <c r="A6" s="6">
        <v>5</v>
      </c>
      <c r="B6" s="7">
        <v>45664</v>
      </c>
      <c r="C6" s="6" t="s">
        <v>35</v>
      </c>
      <c r="D6" s="6" t="s">
        <v>36</v>
      </c>
      <c r="E6" s="6" t="s">
        <v>31</v>
      </c>
      <c r="F6" s="8">
        <v>2</v>
      </c>
      <c r="G6" s="8">
        <v>2300</v>
      </c>
      <c r="H6" s="6">
        <v>4600</v>
      </c>
      <c r="I6" s="5" t="s">
        <v>37</v>
      </c>
      <c r="J6" s="5" t="s">
        <v>16</v>
      </c>
      <c r="K6" s="5" t="s">
        <v>17</v>
      </c>
      <c r="L6" s="5" t="s">
        <v>18</v>
      </c>
    </row>
    <row r="7" spans="1:12" x14ac:dyDescent="0.3">
      <c r="A7" s="6">
        <v>6</v>
      </c>
      <c r="B7" s="7">
        <v>45665</v>
      </c>
      <c r="C7" s="6" t="s">
        <v>38</v>
      </c>
      <c r="D7" s="6" t="s">
        <v>39</v>
      </c>
      <c r="E7" s="6" t="s">
        <v>14</v>
      </c>
      <c r="F7" s="8">
        <v>1</v>
      </c>
      <c r="G7" s="8">
        <v>32000</v>
      </c>
      <c r="H7" s="6">
        <v>32000</v>
      </c>
      <c r="I7" s="5" t="s">
        <v>15</v>
      </c>
      <c r="J7" s="5" t="s">
        <v>22</v>
      </c>
      <c r="K7" s="5" t="s">
        <v>23</v>
      </c>
      <c r="L7" s="5" t="s">
        <v>18</v>
      </c>
    </row>
    <row r="8" spans="1:12" x14ac:dyDescent="0.3">
      <c r="A8" s="3">
        <v>7</v>
      </c>
      <c r="B8" s="4">
        <v>45666</v>
      </c>
      <c r="C8" s="3" t="s">
        <v>40</v>
      </c>
      <c r="D8" s="3" t="s">
        <v>41</v>
      </c>
      <c r="E8" s="3" t="s">
        <v>14</v>
      </c>
      <c r="F8" s="5">
        <v>2</v>
      </c>
      <c r="G8" s="5">
        <v>1500</v>
      </c>
      <c r="H8" s="3">
        <v>3000</v>
      </c>
      <c r="I8" s="5" t="s">
        <v>21</v>
      </c>
      <c r="J8" s="5" t="s">
        <v>28</v>
      </c>
      <c r="K8" s="5" t="s">
        <v>17</v>
      </c>
      <c r="L8" s="5" t="s">
        <v>18</v>
      </c>
    </row>
    <row r="9" spans="1:12" x14ac:dyDescent="0.3">
      <c r="A9" s="3">
        <v>8</v>
      </c>
      <c r="B9" s="4">
        <v>45667</v>
      </c>
      <c r="C9" s="3" t="s">
        <v>42</v>
      </c>
      <c r="D9" s="3" t="s">
        <v>43</v>
      </c>
      <c r="E9" s="3" t="s">
        <v>26</v>
      </c>
      <c r="F9" s="5">
        <v>1</v>
      </c>
      <c r="G9" s="5">
        <v>6000</v>
      </c>
      <c r="H9" s="3">
        <v>6000</v>
      </c>
      <c r="I9" s="5" t="s">
        <v>27</v>
      </c>
      <c r="J9" s="5" t="s">
        <v>33</v>
      </c>
      <c r="K9" s="5" t="s">
        <v>44</v>
      </c>
      <c r="L9" s="5" t="s">
        <v>18</v>
      </c>
    </row>
    <row r="10" spans="1:12" x14ac:dyDescent="0.3">
      <c r="A10" s="3">
        <v>9</v>
      </c>
      <c r="B10" s="9">
        <v>45668</v>
      </c>
      <c r="C10" s="5" t="s">
        <v>45</v>
      </c>
      <c r="D10" s="5" t="s">
        <v>46</v>
      </c>
      <c r="E10" s="5" t="s">
        <v>31</v>
      </c>
      <c r="F10" s="5">
        <v>1</v>
      </c>
      <c r="G10" s="5">
        <v>28000</v>
      </c>
      <c r="H10" s="3">
        <v>28000</v>
      </c>
      <c r="I10" s="5" t="s">
        <v>32</v>
      </c>
      <c r="J10" s="5" t="s">
        <v>16</v>
      </c>
      <c r="K10" s="5" t="s">
        <v>17</v>
      </c>
      <c r="L10" s="5" t="s">
        <v>18</v>
      </c>
    </row>
    <row r="11" spans="1:12" x14ac:dyDescent="0.3">
      <c r="A11" s="3">
        <v>10</v>
      </c>
      <c r="B11" s="9">
        <v>45669</v>
      </c>
      <c r="C11" s="5" t="s">
        <v>47</v>
      </c>
      <c r="D11" s="5" t="s">
        <v>48</v>
      </c>
      <c r="E11" s="5" t="s">
        <v>26</v>
      </c>
      <c r="F11" s="5">
        <v>3</v>
      </c>
      <c r="G11" s="5">
        <v>900</v>
      </c>
      <c r="H11" s="3">
        <v>2700</v>
      </c>
      <c r="I11" s="5" t="s">
        <v>37</v>
      </c>
      <c r="J11" s="5" t="s">
        <v>22</v>
      </c>
      <c r="K11" s="5" t="s">
        <v>34</v>
      </c>
      <c r="L11" s="5" t="s">
        <v>18</v>
      </c>
    </row>
    <row r="12" spans="1:12" x14ac:dyDescent="0.3">
      <c r="A12" s="3">
        <v>11</v>
      </c>
      <c r="B12" s="9">
        <v>45670</v>
      </c>
      <c r="C12" s="3" t="s">
        <v>49</v>
      </c>
      <c r="D12" s="5" t="s">
        <v>50</v>
      </c>
      <c r="E12" s="5" t="s">
        <v>31</v>
      </c>
      <c r="F12" s="5">
        <v>1</v>
      </c>
      <c r="G12" s="5">
        <v>8500</v>
      </c>
      <c r="H12" s="3">
        <v>8500</v>
      </c>
      <c r="I12" s="5" t="s">
        <v>15</v>
      </c>
      <c r="J12" s="5" t="s">
        <v>28</v>
      </c>
      <c r="K12" s="5" t="s">
        <v>23</v>
      </c>
      <c r="L12" s="5" t="s">
        <v>18</v>
      </c>
    </row>
    <row r="13" spans="1:12" x14ac:dyDescent="0.3">
      <c r="A13" s="3">
        <v>12</v>
      </c>
      <c r="B13" s="9">
        <v>45671</v>
      </c>
      <c r="C13" s="5" t="s">
        <v>51</v>
      </c>
      <c r="D13" s="5" t="s">
        <v>52</v>
      </c>
      <c r="E13" s="5" t="s">
        <v>14</v>
      </c>
      <c r="F13" s="5">
        <v>1</v>
      </c>
      <c r="G13" s="5">
        <v>12000</v>
      </c>
      <c r="H13" s="3">
        <v>12000</v>
      </c>
      <c r="I13" s="5" t="s">
        <v>21</v>
      </c>
      <c r="J13" s="5" t="s">
        <v>33</v>
      </c>
      <c r="K13" s="5" t="s">
        <v>17</v>
      </c>
      <c r="L13" s="5" t="s">
        <v>18</v>
      </c>
    </row>
    <row r="14" spans="1:12" x14ac:dyDescent="0.3">
      <c r="A14" s="3">
        <v>13</v>
      </c>
      <c r="B14" s="9">
        <v>45672</v>
      </c>
      <c r="C14" s="5" t="s">
        <v>53</v>
      </c>
      <c r="D14" s="5" t="s">
        <v>54</v>
      </c>
      <c r="E14" s="5" t="s">
        <v>55</v>
      </c>
      <c r="F14" s="5">
        <v>2</v>
      </c>
      <c r="G14" s="5">
        <v>2000</v>
      </c>
      <c r="H14" s="3">
        <v>4000</v>
      </c>
      <c r="I14" s="5" t="s">
        <v>27</v>
      </c>
      <c r="J14" s="5" t="s">
        <v>16</v>
      </c>
      <c r="K14" s="5" t="s">
        <v>44</v>
      </c>
      <c r="L14" s="5" t="s">
        <v>18</v>
      </c>
    </row>
    <row r="15" spans="1:12" x14ac:dyDescent="0.3">
      <c r="A15" s="3">
        <v>14</v>
      </c>
      <c r="B15" s="9">
        <v>45673</v>
      </c>
      <c r="C15" s="5" t="s">
        <v>56</v>
      </c>
      <c r="D15" s="5" t="s">
        <v>57</v>
      </c>
      <c r="E15" s="5" t="s">
        <v>55</v>
      </c>
      <c r="F15" s="5">
        <v>4</v>
      </c>
      <c r="G15" s="5">
        <v>400</v>
      </c>
      <c r="H15" s="3">
        <v>1600</v>
      </c>
      <c r="I15" s="5" t="s">
        <v>32</v>
      </c>
      <c r="J15" s="5" t="s">
        <v>22</v>
      </c>
      <c r="K15" s="5" t="s">
        <v>17</v>
      </c>
      <c r="L15" s="5" t="s">
        <v>18</v>
      </c>
    </row>
    <row r="16" spans="1:12" x14ac:dyDescent="0.3">
      <c r="A16" s="3">
        <v>15</v>
      </c>
      <c r="B16" s="9">
        <v>45674</v>
      </c>
      <c r="C16" s="5" t="s">
        <v>58</v>
      </c>
      <c r="D16" s="5" t="s">
        <v>59</v>
      </c>
      <c r="E16" s="5" t="s">
        <v>55</v>
      </c>
      <c r="F16" s="5">
        <v>1</v>
      </c>
      <c r="G16" s="5">
        <v>1500</v>
      </c>
      <c r="H16" s="3">
        <v>1500</v>
      </c>
      <c r="I16" s="5" t="s">
        <v>37</v>
      </c>
      <c r="J16" s="5" t="s">
        <v>28</v>
      </c>
      <c r="K16" s="5" t="s">
        <v>34</v>
      </c>
      <c r="L16" s="5" t="s">
        <v>18</v>
      </c>
    </row>
    <row r="17" spans="1:12" x14ac:dyDescent="0.3">
      <c r="A17" s="3">
        <v>16</v>
      </c>
      <c r="B17" s="9">
        <v>45675</v>
      </c>
      <c r="C17" s="5" t="s">
        <v>60</v>
      </c>
      <c r="D17" s="5" t="s">
        <v>61</v>
      </c>
      <c r="E17" s="5" t="s">
        <v>31</v>
      </c>
      <c r="F17" s="5">
        <v>1</v>
      </c>
      <c r="G17" s="5">
        <v>24000</v>
      </c>
      <c r="H17" s="3">
        <v>24000</v>
      </c>
      <c r="I17" s="5" t="s">
        <v>15</v>
      </c>
      <c r="J17" s="5" t="s">
        <v>33</v>
      </c>
      <c r="K17" s="5" t="s">
        <v>23</v>
      </c>
      <c r="L17" s="5" t="s">
        <v>18</v>
      </c>
    </row>
    <row r="18" spans="1:12" x14ac:dyDescent="0.3">
      <c r="A18" s="3">
        <v>17</v>
      </c>
      <c r="B18" s="9">
        <v>45676</v>
      </c>
      <c r="C18" s="5" t="s">
        <v>62</v>
      </c>
      <c r="D18" s="5" t="s">
        <v>63</v>
      </c>
      <c r="E18" s="5" t="s">
        <v>14</v>
      </c>
      <c r="F18" s="5">
        <v>1</v>
      </c>
      <c r="G18" s="5">
        <v>9500</v>
      </c>
      <c r="H18" s="3">
        <v>9500</v>
      </c>
      <c r="I18" s="5" t="s">
        <v>21</v>
      </c>
      <c r="J18" s="5" t="s">
        <v>16</v>
      </c>
      <c r="K18" s="5" t="s">
        <v>17</v>
      </c>
      <c r="L18" s="5" t="s">
        <v>18</v>
      </c>
    </row>
    <row r="19" spans="1:12" x14ac:dyDescent="0.3">
      <c r="A19" s="3">
        <v>18</v>
      </c>
      <c r="B19" s="9">
        <v>45677</v>
      </c>
      <c r="C19" s="5" t="s">
        <v>64</v>
      </c>
      <c r="D19" s="5" t="s">
        <v>65</v>
      </c>
      <c r="E19" s="5" t="s">
        <v>31</v>
      </c>
      <c r="F19" s="5">
        <v>2</v>
      </c>
      <c r="G19" s="5">
        <v>2700</v>
      </c>
      <c r="H19" s="3">
        <v>5400</v>
      </c>
      <c r="I19" s="5" t="s">
        <v>27</v>
      </c>
      <c r="J19" s="5" t="s">
        <v>22</v>
      </c>
      <c r="K19" s="5" t="s">
        <v>34</v>
      </c>
      <c r="L19" s="5" t="s">
        <v>18</v>
      </c>
    </row>
    <row r="20" spans="1:12" x14ac:dyDescent="0.3">
      <c r="A20" s="3">
        <v>19</v>
      </c>
      <c r="B20" s="9">
        <v>45678</v>
      </c>
      <c r="C20" s="5" t="s">
        <v>66</v>
      </c>
      <c r="D20" s="5" t="s">
        <v>67</v>
      </c>
      <c r="E20" s="5" t="s">
        <v>31</v>
      </c>
      <c r="F20" s="5">
        <v>1</v>
      </c>
      <c r="G20" s="5">
        <v>15000</v>
      </c>
      <c r="H20" s="3">
        <v>15000</v>
      </c>
      <c r="I20" s="5" t="s">
        <v>32</v>
      </c>
      <c r="J20" s="5" t="s">
        <v>28</v>
      </c>
      <c r="K20" s="5" t="s">
        <v>17</v>
      </c>
      <c r="L20" s="5" t="s">
        <v>18</v>
      </c>
    </row>
    <row r="21" spans="1:12" x14ac:dyDescent="0.3">
      <c r="A21" s="3">
        <v>20</v>
      </c>
      <c r="B21" s="9">
        <v>45679</v>
      </c>
      <c r="C21" s="5" t="s">
        <v>68</v>
      </c>
      <c r="D21" s="5" t="s">
        <v>69</v>
      </c>
      <c r="E21" s="5" t="s">
        <v>26</v>
      </c>
      <c r="F21" s="5">
        <v>1</v>
      </c>
      <c r="G21" s="5">
        <v>18000</v>
      </c>
      <c r="H21" s="3">
        <v>18000</v>
      </c>
      <c r="I21" s="5" t="s">
        <v>37</v>
      </c>
      <c r="J21" s="5" t="s">
        <v>33</v>
      </c>
      <c r="K21" s="5" t="s">
        <v>23</v>
      </c>
      <c r="L21" s="5" t="s">
        <v>18</v>
      </c>
    </row>
    <row r="22" spans="1:12" x14ac:dyDescent="0.3">
      <c r="A22" s="3">
        <v>21</v>
      </c>
      <c r="B22" s="9">
        <v>45680</v>
      </c>
      <c r="C22" s="5" t="s">
        <v>70</v>
      </c>
      <c r="D22" s="5" t="s">
        <v>71</v>
      </c>
      <c r="E22" s="5" t="s">
        <v>31</v>
      </c>
      <c r="F22" s="5">
        <v>1</v>
      </c>
      <c r="G22" s="5">
        <v>2500</v>
      </c>
      <c r="H22" s="3">
        <v>2500</v>
      </c>
      <c r="I22" s="5" t="s">
        <v>15</v>
      </c>
      <c r="J22" s="5" t="s">
        <v>16</v>
      </c>
      <c r="K22" s="5" t="s">
        <v>17</v>
      </c>
      <c r="L22" s="5" t="s">
        <v>18</v>
      </c>
    </row>
    <row r="23" spans="1:12" x14ac:dyDescent="0.3">
      <c r="A23" s="3">
        <v>22</v>
      </c>
      <c r="B23" s="9">
        <v>45681</v>
      </c>
      <c r="C23" s="5" t="s">
        <v>72</v>
      </c>
      <c r="D23" s="5" t="s">
        <v>73</v>
      </c>
      <c r="E23" s="5" t="s">
        <v>14</v>
      </c>
      <c r="F23" s="5">
        <v>2</v>
      </c>
      <c r="G23" s="5">
        <v>1200</v>
      </c>
      <c r="H23" s="3">
        <v>2400</v>
      </c>
      <c r="I23" s="5" t="s">
        <v>21</v>
      </c>
      <c r="J23" s="5" t="s">
        <v>22</v>
      </c>
      <c r="K23" s="5" t="s">
        <v>44</v>
      </c>
      <c r="L23" s="5" t="s">
        <v>18</v>
      </c>
    </row>
    <row r="24" spans="1:12" x14ac:dyDescent="0.3">
      <c r="A24" s="3">
        <v>23</v>
      </c>
      <c r="B24" s="9">
        <v>45682</v>
      </c>
      <c r="C24" s="5" t="s">
        <v>74</v>
      </c>
      <c r="D24" s="5" t="s">
        <v>75</v>
      </c>
      <c r="E24" s="5" t="s">
        <v>55</v>
      </c>
      <c r="F24" s="5">
        <v>2</v>
      </c>
      <c r="G24" s="5">
        <v>1100</v>
      </c>
      <c r="H24" s="3">
        <v>2200</v>
      </c>
      <c r="I24" s="5" t="s">
        <v>27</v>
      </c>
      <c r="J24" s="5" t="s">
        <v>28</v>
      </c>
      <c r="K24" s="5" t="s">
        <v>34</v>
      </c>
      <c r="L24" s="5" t="s">
        <v>18</v>
      </c>
    </row>
    <row r="25" spans="1:12" x14ac:dyDescent="0.3">
      <c r="A25" s="3">
        <v>24</v>
      </c>
      <c r="B25" s="9">
        <v>45683</v>
      </c>
      <c r="C25" s="5" t="s">
        <v>76</v>
      </c>
      <c r="D25" s="5" t="s">
        <v>77</v>
      </c>
      <c r="E25" s="5" t="s">
        <v>26</v>
      </c>
      <c r="F25" s="5">
        <v>1</v>
      </c>
      <c r="G25" s="5">
        <v>14000</v>
      </c>
      <c r="H25" s="3">
        <v>14000</v>
      </c>
      <c r="I25" s="5" t="s">
        <v>32</v>
      </c>
      <c r="J25" s="5" t="s">
        <v>33</v>
      </c>
      <c r="K25" s="5" t="s">
        <v>17</v>
      </c>
      <c r="L25" s="5" t="s">
        <v>18</v>
      </c>
    </row>
    <row r="26" spans="1:12" x14ac:dyDescent="0.3">
      <c r="A26" s="3">
        <v>25</v>
      </c>
      <c r="B26" s="9">
        <v>45684</v>
      </c>
      <c r="C26" s="5" t="s">
        <v>78</v>
      </c>
      <c r="D26" s="5" t="s">
        <v>79</v>
      </c>
      <c r="E26" s="5" t="s">
        <v>55</v>
      </c>
      <c r="F26" s="5">
        <v>1</v>
      </c>
      <c r="G26" s="5">
        <v>1900</v>
      </c>
      <c r="H26" s="3">
        <v>1900</v>
      </c>
      <c r="I26" s="5" t="s">
        <v>37</v>
      </c>
      <c r="J26" s="5" t="s">
        <v>16</v>
      </c>
      <c r="K26" s="5" t="s">
        <v>34</v>
      </c>
      <c r="L26" s="5" t="s">
        <v>18</v>
      </c>
    </row>
    <row r="27" spans="1:12" x14ac:dyDescent="0.3">
      <c r="A27" s="3">
        <v>26</v>
      </c>
      <c r="B27" s="9">
        <v>45685</v>
      </c>
      <c r="C27" s="5" t="s">
        <v>80</v>
      </c>
      <c r="D27" s="5" t="s">
        <v>81</v>
      </c>
      <c r="E27" s="5" t="s">
        <v>14</v>
      </c>
      <c r="F27" s="5">
        <v>1</v>
      </c>
      <c r="G27" s="5">
        <v>4500</v>
      </c>
      <c r="H27" s="3">
        <v>4500</v>
      </c>
      <c r="I27" s="5" t="s">
        <v>15</v>
      </c>
      <c r="J27" s="5" t="s">
        <v>22</v>
      </c>
      <c r="K27" s="5" t="s">
        <v>17</v>
      </c>
      <c r="L27" s="5" t="s">
        <v>18</v>
      </c>
    </row>
    <row r="28" spans="1:12" x14ac:dyDescent="0.3">
      <c r="A28" s="3">
        <v>27</v>
      </c>
      <c r="B28" s="9">
        <v>45686</v>
      </c>
      <c r="C28" s="5" t="s">
        <v>82</v>
      </c>
      <c r="D28" s="5" t="s">
        <v>83</v>
      </c>
      <c r="E28" s="5" t="s">
        <v>55</v>
      </c>
      <c r="F28" s="5">
        <v>1</v>
      </c>
      <c r="G28" s="5">
        <v>2200</v>
      </c>
      <c r="H28" s="3">
        <v>2200</v>
      </c>
      <c r="I28" s="5" t="s">
        <v>21</v>
      </c>
      <c r="J28" s="5" t="s">
        <v>28</v>
      </c>
      <c r="K28" s="5" t="s">
        <v>23</v>
      </c>
      <c r="L28" s="5" t="s">
        <v>18</v>
      </c>
    </row>
    <row r="29" spans="1:12" x14ac:dyDescent="0.3">
      <c r="A29" s="3">
        <v>28</v>
      </c>
      <c r="B29" s="9">
        <v>45687</v>
      </c>
      <c r="C29" s="5" t="s">
        <v>84</v>
      </c>
      <c r="D29" s="5" t="s">
        <v>85</v>
      </c>
      <c r="E29" s="5" t="s">
        <v>86</v>
      </c>
      <c r="F29" s="5">
        <v>5</v>
      </c>
      <c r="G29" s="5">
        <v>300</v>
      </c>
      <c r="H29" s="3">
        <v>1500</v>
      </c>
      <c r="I29" s="5" t="s">
        <v>27</v>
      </c>
      <c r="J29" s="5" t="s">
        <v>33</v>
      </c>
      <c r="K29" s="5" t="s">
        <v>17</v>
      </c>
      <c r="L29" s="5" t="s">
        <v>18</v>
      </c>
    </row>
    <row r="30" spans="1:12" x14ac:dyDescent="0.3">
      <c r="A30" s="3">
        <v>29</v>
      </c>
      <c r="B30" s="9">
        <v>45688</v>
      </c>
      <c r="C30" s="5" t="s">
        <v>87</v>
      </c>
      <c r="D30" s="5" t="s">
        <v>88</v>
      </c>
      <c r="E30" s="5" t="s">
        <v>86</v>
      </c>
      <c r="F30" s="5">
        <v>10</v>
      </c>
      <c r="G30" s="5">
        <v>50</v>
      </c>
      <c r="H30" s="3">
        <v>500</v>
      </c>
      <c r="I30" s="5" t="s">
        <v>32</v>
      </c>
      <c r="J30" s="5" t="s">
        <v>16</v>
      </c>
      <c r="K30" s="5" t="s">
        <v>34</v>
      </c>
      <c r="L30" s="5" t="s">
        <v>18</v>
      </c>
    </row>
    <row r="31" spans="1:12" x14ac:dyDescent="0.3">
      <c r="A31" s="3">
        <v>30</v>
      </c>
      <c r="B31" s="9">
        <v>45689</v>
      </c>
      <c r="C31" s="5" t="s">
        <v>89</v>
      </c>
      <c r="D31" s="5" t="s">
        <v>90</v>
      </c>
      <c r="E31" s="5" t="s">
        <v>86</v>
      </c>
      <c r="F31" s="5">
        <v>3</v>
      </c>
      <c r="G31" s="5">
        <v>150</v>
      </c>
      <c r="H31" s="3">
        <v>450</v>
      </c>
      <c r="I31" s="5" t="s">
        <v>37</v>
      </c>
      <c r="J31" s="10" t="s">
        <v>22</v>
      </c>
      <c r="K31" s="10" t="s">
        <v>17</v>
      </c>
      <c r="L31" s="10" t="s">
        <v>18</v>
      </c>
    </row>
    <row r="35" spans="1:3" x14ac:dyDescent="0.3">
      <c r="A35">
        <v>1</v>
      </c>
      <c r="B35" t="s">
        <v>91</v>
      </c>
    </row>
    <row r="37" spans="1:3" x14ac:dyDescent="0.3">
      <c r="B37">
        <v>12</v>
      </c>
      <c r="C37" t="str">
        <f>VLOOKUP(B37, A2:L100, 4, FALSE)</f>
        <v>Printer</v>
      </c>
    </row>
    <row r="40" spans="1:3" x14ac:dyDescent="0.3">
      <c r="A40">
        <v>2</v>
      </c>
      <c r="B40" t="s">
        <v>92</v>
      </c>
    </row>
    <row r="42" spans="1:3" x14ac:dyDescent="0.3">
      <c r="C42">
        <f>VLOOKUP("Mahesh More", C2:L100, 5, FALSE)</f>
        <v>28000</v>
      </c>
    </row>
    <row r="45" spans="1:3" x14ac:dyDescent="0.3">
      <c r="A45">
        <v>3</v>
      </c>
      <c r="B45" t="s">
        <v>93</v>
      </c>
    </row>
    <row r="47" spans="1:3" x14ac:dyDescent="0.3">
      <c r="C47">
        <f>VLOOKUP(25, A2:L100, 6, FALSE)</f>
        <v>1</v>
      </c>
    </row>
    <row r="52" spans="1:3" x14ac:dyDescent="0.3">
      <c r="A52">
        <v>4</v>
      </c>
      <c r="B52" t="s">
        <v>94</v>
      </c>
    </row>
    <row r="54" spans="1:3" x14ac:dyDescent="0.3">
      <c r="C54" t="str">
        <f>VLOOKUP(19, A2:L100, 10, FALSE)</f>
        <v>South</v>
      </c>
    </row>
    <row r="56" spans="1:3" x14ac:dyDescent="0.3">
      <c r="A56">
        <v>5</v>
      </c>
      <c r="B56" t="s">
        <v>95</v>
      </c>
    </row>
    <row r="58" spans="1:3" x14ac:dyDescent="0.3">
      <c r="C58" t="str">
        <f>VLOOKUP(5, A2:L100, 9, FALSE)</f>
        <v>Deepa Nair</v>
      </c>
    </row>
    <row r="60" spans="1:3" x14ac:dyDescent="0.3">
      <c r="A60">
        <v>6</v>
      </c>
      <c r="B60" t="s">
        <v>96</v>
      </c>
    </row>
    <row r="62" spans="1:3" x14ac:dyDescent="0.3">
      <c r="C62" t="str">
        <f>VLOOKUP("Vaishnavi Patil", C2:L100, 9, FALSE)</f>
        <v>Cash</v>
      </c>
    </row>
    <row r="64" spans="1:3" x14ac:dyDescent="0.3">
      <c r="A64">
        <v>7</v>
      </c>
      <c r="B64" t="s">
        <v>97</v>
      </c>
    </row>
    <row r="66" spans="1:3" x14ac:dyDescent="0.3">
      <c r="C66">
        <f>VLOOKUP("Refrigerator", D2:L100, 5, FALSE)</f>
        <v>28000</v>
      </c>
    </row>
    <row r="68" spans="1:3" x14ac:dyDescent="0.3">
      <c r="A68">
        <v>8</v>
      </c>
      <c r="B68" t="s">
        <v>98</v>
      </c>
    </row>
    <row r="70" spans="1:3" x14ac:dyDescent="0.3">
      <c r="C70" t="str">
        <f>VLOOKUP(8, A2:L100, 12, FALSE)</f>
        <v>Paid</v>
      </c>
    </row>
    <row r="72" spans="1:3" x14ac:dyDescent="0.3">
      <c r="A72">
        <v>9</v>
      </c>
      <c r="B72" t="s">
        <v>99</v>
      </c>
    </row>
    <row r="74" spans="1:3" x14ac:dyDescent="0.3">
      <c r="C74" t="str">
        <f>VLOOKUP("Tanvi Joshi", C2:L100, 3, FALSE)</f>
        <v>Fashion</v>
      </c>
    </row>
    <row r="76" spans="1:3" x14ac:dyDescent="0.3">
      <c r="A76">
        <v>10</v>
      </c>
      <c r="B76" t="s">
        <v>100</v>
      </c>
    </row>
    <row r="78" spans="1:3" x14ac:dyDescent="0.3">
      <c r="C78">
        <f>VLOOKUP(17, A2:L100, 2, FALSE)</f>
        <v>45676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priti Gaikwad</cp:lastModifiedBy>
  <dcterms:created xsi:type="dcterms:W3CDTF">2025-12-08T13:14:19Z</dcterms:created>
  <dcterms:modified xsi:type="dcterms:W3CDTF">2025-12-23T10:39:19Z</dcterms:modified>
</cp:coreProperties>
</file>