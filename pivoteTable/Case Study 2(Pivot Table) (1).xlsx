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Analyst\Excel\"/>
    </mc:Choice>
  </mc:AlternateContent>
  <xr:revisionPtr revIDLastSave="0" documentId="13_ncr:1_{C01D0CAF-DD37-4C20-9BA8-35F1929225E7}" xr6:coauthVersionLast="47" xr6:coauthVersionMax="47" xr10:uidLastSave="{00000000-0000-0000-0000-000000000000}"/>
  <bookViews>
    <workbookView xWindow="-108" yWindow="-108" windowWidth="23256" windowHeight="12456" activeTab="3" xr2:uid="{3C2F27DB-59A7-4E77-BCCC-EA28361B83B3}"/>
  </bookViews>
  <sheets>
    <sheet name="Data" sheetId="1" r:id="rId1"/>
    <sheet name="Case Study " sheetId="2" r:id="rId2"/>
    <sheet name="Sheet1" sheetId="3" r:id="rId3"/>
    <sheet name="Sheet3" sheetId="5" r:id="rId4"/>
  </sheets>
  <definedNames>
    <definedName name="_xlcn.WorksheetConnection_CaseStudy2PivotTable1.xlsxTSales21" hidden="1">TSales2[]</definedName>
  </definedNames>
  <calcPr calcId="191029"/>
  <pivotCaches>
    <pivotCache cacheId="0" r:id="rId5"/>
    <pivotCache cacheId="2" r:id="rId6"/>
    <pivotCache cacheId="21" r:id="rId7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Sales2" name="TSales2" connection="WorksheetConnection_Case Study 2(Pivot Table) (1).xlsx!TSales2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4CF6C08-89AA-4456-9691-B5AC58EBA462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DEA3C941-95FB-49D9-BB9D-B28596F7FB42}" name="WorksheetConnection_Case Study 2(Pivot Table) (1).xlsx!TSales2" type="102" refreshedVersion="8" minRefreshableVersion="5">
    <extLst>
      <ext xmlns:x15="http://schemas.microsoft.com/office/spreadsheetml/2010/11/main" uri="{DE250136-89BD-433C-8126-D09CA5730AF9}">
        <x15:connection id="TSales2" autoDelete="1">
          <x15:rangePr sourceName="_xlcn.WorksheetConnection_CaseStudy2PivotTable1.xlsxTSales21"/>
        </x15:connection>
      </ext>
    </extLst>
  </connection>
</connections>
</file>

<file path=xl/sharedStrings.xml><?xml version="1.0" encoding="utf-8"?>
<sst xmlns="http://schemas.openxmlformats.org/spreadsheetml/2006/main" count="985" uniqueCount="120">
  <si>
    <t>Company</t>
  </si>
  <si>
    <t>Company Name</t>
  </si>
  <si>
    <t>Region</t>
  </si>
  <si>
    <t>Sales Document</t>
  </si>
  <si>
    <t>Document Date</t>
  </si>
  <si>
    <t>Customer Code</t>
  </si>
  <si>
    <t>Customer Name</t>
  </si>
  <si>
    <t>Product Code</t>
  </si>
  <si>
    <t>Product Description</t>
  </si>
  <si>
    <t>Quantity</t>
  </si>
  <si>
    <t>Sales USD</t>
  </si>
  <si>
    <t>1010US</t>
  </si>
  <si>
    <t>Urban Right</t>
  </si>
  <si>
    <t>America</t>
  </si>
  <si>
    <t>Dellicia</t>
  </si>
  <si>
    <t>Women type T simple white</t>
  </si>
  <si>
    <t>What is the total sales for the company 'Urban Right' in America?</t>
  </si>
  <si>
    <t>Women type T simple black</t>
  </si>
  <si>
    <t>How many unique products were sold by 'Urban Right' in America?</t>
  </si>
  <si>
    <t>What is the total quantity sold for 'Women type T simple white' by 'Dellicia'?</t>
  </si>
  <si>
    <t>What is the average quantity sold per sales document for each customer?</t>
  </si>
  <si>
    <t>Erma</t>
  </si>
  <si>
    <t>What is the total sales for 'Women crop top black' in June 2020?</t>
  </si>
  <si>
    <t>Who made the highest total sales for the company 'Urban Right' in June 2020?</t>
  </si>
  <si>
    <t>Women crop top black</t>
  </si>
  <si>
    <t>What is the total sales for each product category in the dataset?</t>
  </si>
  <si>
    <t>What is the average sales per sales document for each product?</t>
  </si>
  <si>
    <t>How many sales documents were recorded for each customer?</t>
  </si>
  <si>
    <t>What is the average quantity sold per product for each customer?</t>
  </si>
  <si>
    <t>What is the total sales for each day in June 2020?</t>
  </si>
  <si>
    <t>Women basics</t>
  </si>
  <si>
    <t>Who made the highest total sales in a single sales document?</t>
  </si>
  <si>
    <t>What is the total quantity sold for each product by 'Erma'?</t>
  </si>
  <si>
    <t>What is the average sales per sales document for 'Urban Right' in June 2020?</t>
  </si>
  <si>
    <t>What is the total quantity sold for each product category in America?</t>
  </si>
  <si>
    <t>Row Labels</t>
  </si>
  <si>
    <t>Sum of Sales USD</t>
  </si>
  <si>
    <t>Grand Total</t>
  </si>
  <si>
    <t>1020US</t>
  </si>
  <si>
    <t>Meta Creations</t>
  </si>
  <si>
    <t>Men type T simple white</t>
  </si>
  <si>
    <t>Men type T simple black</t>
  </si>
  <si>
    <t>Men basics</t>
  </si>
  <si>
    <t>Laptop bag black</t>
  </si>
  <si>
    <t>Men dress shirt black</t>
  </si>
  <si>
    <t>Men dress shirt grey</t>
  </si>
  <si>
    <t>Men shorts grey</t>
  </si>
  <si>
    <t>Men shorts black</t>
  </si>
  <si>
    <t>Unisex tank top white</t>
  </si>
  <si>
    <t>1040DE</t>
  </si>
  <si>
    <t>Lucas Basics</t>
  </si>
  <si>
    <t>Europe</t>
  </si>
  <si>
    <t>Liebher</t>
  </si>
  <si>
    <t>Laptop bag red</t>
  </si>
  <si>
    <t>Aida GmbH</t>
  </si>
  <si>
    <t>Smartphone case diamond</t>
  </si>
  <si>
    <t>Smartphone case simple</t>
  </si>
  <si>
    <t>1.What is the total sales for the company 'Urban Right' in America?</t>
  </si>
  <si>
    <t>(All)</t>
  </si>
  <si>
    <t>2.How many unique products were sold by 'Urban Right' in America?</t>
  </si>
  <si>
    <t>Count of Product Description</t>
  </si>
  <si>
    <t>3.What is the total quantity sold for 'Women type T simple white' by 'Dellicia'?</t>
  </si>
  <si>
    <t>Sum of Quantity</t>
  </si>
  <si>
    <t>4.What is the average quantity sold per sales document for each customer?</t>
  </si>
  <si>
    <t>Average of Quantity</t>
  </si>
  <si>
    <t>5.What is the total sales for 'Women crop top black' in June 2020?</t>
  </si>
  <si>
    <t>6.Who made the highest total sales for the company 'Urban Right' in June 2020?</t>
  </si>
  <si>
    <t>7.What is the total sales for each product category in the dataset?</t>
  </si>
  <si>
    <t>Category</t>
  </si>
  <si>
    <t>Laptop</t>
  </si>
  <si>
    <t>Men</t>
  </si>
  <si>
    <t>Smartphone</t>
  </si>
  <si>
    <t>Unisex</t>
  </si>
  <si>
    <t>Women</t>
  </si>
  <si>
    <t>8.What is the average sales per sales document for each product?</t>
  </si>
  <si>
    <t>Column1</t>
  </si>
  <si>
    <t>Average of Sales USD</t>
  </si>
  <si>
    <t>Q.8</t>
  </si>
  <si>
    <t xml:space="preserve">Q.9How many sales documents were recorded for each customer? </t>
  </si>
  <si>
    <t>Distinct Count of Sales Document</t>
  </si>
  <si>
    <t>Q.10 What is the average quantity sold per product for each customer?</t>
  </si>
  <si>
    <t>Column Labels</t>
  </si>
  <si>
    <t>11.What is the total sales for each day in June 2020?</t>
  </si>
  <si>
    <t>1-Jun</t>
  </si>
  <si>
    <t>2-Jun</t>
  </si>
  <si>
    <t>3-Jun</t>
  </si>
  <si>
    <t>4-Jun</t>
  </si>
  <si>
    <t>5-Jun</t>
  </si>
  <si>
    <t>6-Jun</t>
  </si>
  <si>
    <t>7-Jun</t>
  </si>
  <si>
    <t>8-Jun</t>
  </si>
  <si>
    <t>9-Jun</t>
  </si>
  <si>
    <t>10-Jun</t>
  </si>
  <si>
    <t>11-Jun</t>
  </si>
  <si>
    <t>12-Jun</t>
  </si>
  <si>
    <t>13-Jun</t>
  </si>
  <si>
    <t>14-Jun</t>
  </si>
  <si>
    <t>15-Jun</t>
  </si>
  <si>
    <t>16-Jun</t>
  </si>
  <si>
    <t>17-Jun</t>
  </si>
  <si>
    <t>18-Jun</t>
  </si>
  <si>
    <t>19-Jun</t>
  </si>
  <si>
    <t>20-Jun</t>
  </si>
  <si>
    <t>21-Jun</t>
  </si>
  <si>
    <t>22-Jun</t>
  </si>
  <si>
    <t>23-Jun</t>
  </si>
  <si>
    <t>24-Jun</t>
  </si>
  <si>
    <t>25-Jun</t>
  </si>
  <si>
    <t>26-Jun</t>
  </si>
  <si>
    <t>29-Jun</t>
  </si>
  <si>
    <t>30-Jun</t>
  </si>
  <si>
    <t>12.Who made the highest total sales in a single sales document?</t>
  </si>
  <si>
    <t>q.13 What is the total quantity sold for each product by 'Erma'?</t>
  </si>
  <si>
    <t>q.14 What is the average sales per sales document for 'Urban Right' in June 2020?</t>
  </si>
  <si>
    <t>q.15 What is the total quantity sold for each product category in America?</t>
  </si>
  <si>
    <t>Group1</t>
  </si>
  <si>
    <t>Group1 Total</t>
  </si>
  <si>
    <t>Laptop bag red Total</t>
  </si>
  <si>
    <t>Smartphone case diamond Total</t>
  </si>
  <si>
    <t>Smartphone case simple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</si>
</sst>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F800]dddd\,\ mmmm\ dd\,\ yyyy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13">
    <border>
      <left/>
      <right/>
      <top/>
      <bottom/>
      <diagonal/>
    </border>
    <border>
      <left/>
      <right/>
      <top/>
      <bottom style="medium">
        <color rgb="FF2981B9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28">
    <xf numFmtId="0" fontId="0" fillId="0" borderId="0" xfId="0"/>
    <xf numFmtId="0" fontId="1" fillId="2" borderId="2" xfId="1" applyFill="1" applyBorder="1" applyAlignment="1">
      <alignment horizontal="center"/>
    </xf>
    <xf numFmtId="0" fontId="1" fillId="2" borderId="3" xfId="1" applyFill="1" applyBorder="1" applyAlignment="1">
      <alignment horizontal="center" wrapText="1"/>
    </xf>
    <xf numFmtId="0" fontId="1" fillId="2" borderId="3" xfId="1" applyFill="1" applyBorder="1" applyAlignment="1">
      <alignment horizontal="center"/>
    </xf>
    <xf numFmtId="0" fontId="1" fillId="2" borderId="4" xfId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164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 indent="1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164" fontId="0" fillId="0" borderId="9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center"/>
    </xf>
    <xf numFmtId="0" fontId="2" fillId="0" borderId="6" xfId="0" applyFont="1" applyBorder="1" applyAlignment="1">
      <alignment horizontal="left" vertical="center" indent="1"/>
    </xf>
    <xf numFmtId="0" fontId="0" fillId="0" borderId="3" xfId="0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1" fillId="3" borderId="11" xfId="0" applyFont="1" applyFill="1" applyBorder="1"/>
    <xf numFmtId="0" fontId="0" fillId="0" borderId="0" xfId="0" applyAlignment="1">
      <alignment horizontal="left" indent="1"/>
    </xf>
    <xf numFmtId="0" fontId="1" fillId="0" borderId="11" xfId="0" applyFont="1" applyBorder="1"/>
    <xf numFmtId="0" fontId="0" fillId="0" borderId="0" xfId="0" applyAlignment="1">
      <alignment horizontal="left" indent="2"/>
    </xf>
    <xf numFmtId="0" fontId="1" fillId="0" borderId="0" xfId="0" applyFont="1"/>
    <xf numFmtId="0" fontId="1" fillId="3" borderId="12" xfId="0" applyFont="1" applyFill="1" applyBorder="1"/>
    <xf numFmtId="0" fontId="0" fillId="0" borderId="0" xfId="0" applyNumberFormat="1"/>
    <xf numFmtId="0" fontId="0" fillId="0" borderId="0" xfId="0" applyAlignment="1">
      <alignment horizontal="left" indent="3"/>
    </xf>
  </cellXfs>
  <cellStyles count="2">
    <cellStyle name="Heading 1 2" xfId="1" xr:uid="{B1476517-8384-4BE4-9D5E-6902BBA44473}"/>
    <cellStyle name="Normal" xfId="0" builtinId="0"/>
  </cellStyles>
  <dxfs count="19">
    <dxf>
      <numFmt numFmtId="0" formatCode="General"/>
    </dxf>
    <dxf>
      <numFmt numFmtId="0" formatCode="General"/>
    </dxf>
    <dxf>
      <numFmt numFmtId="0" formatCode="General"/>
      <alignment horizontal="center" vertical="bottom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[$-F800]dddd\,\ mmmm\ dd\,\ yyyy"/>
      <alignment horizontal="center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indent="0" justifyLastLine="0" shrinkToFit="0" readingOrder="0"/>
    </dxf>
    <dxf>
      <border>
        <bottom style="thin">
          <color indexed="64"/>
        </bottom>
      </border>
    </dxf>
    <dxf>
      <fill>
        <patternFill patternType="solid">
          <fgColor indexed="64"/>
          <bgColor theme="4" tint="0.59999389629810485"/>
        </patternFill>
      </fill>
      <alignment horizontal="center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1" defaultTableStyle="TableStyleMedium2" defaultPivotStyle="PivotStyleLight16">
    <tableStyle name="Invisible" pivot="0" table="0" count="0" xr9:uid="{55A1C2EE-3176-4765-AECC-E38C0F67F1B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12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ops\Downloads\Extra%20Tast%20Excel%20Practice%20Sheet%20%20-%202%20(1).xlsx" TargetMode="External"/><Relationship Id="rId1" Type="http://schemas.openxmlformats.org/officeDocument/2006/relationships/pivotCacheRecords" Target="pivotCacheRecords1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hishek Wavhal" refreshedDate="45307.414338194445" createdVersion="8" refreshedVersion="8" minRefreshableVersion="3" recordCount="105" xr:uid="{A9DC3703-2EFA-46A4-8F08-118A53EEA852}">
  <cacheSource type="worksheet">
    <worksheetSource name="TSales2" r:id="rId2"/>
  </cacheSource>
  <cacheFields count="11">
    <cacheField name="Company" numFmtId="0">
      <sharedItems count="3">
        <s v="1010US"/>
        <s v="1020US"/>
        <s v="1040DE"/>
      </sharedItems>
    </cacheField>
    <cacheField name="Company Name" numFmtId="0">
      <sharedItems count="3">
        <s v="Urban Right"/>
        <s v="Meta Creations"/>
        <s v="Lucas Basics"/>
      </sharedItems>
    </cacheField>
    <cacheField name="Region" numFmtId="0">
      <sharedItems count="2">
        <s v="America"/>
        <s v="Europe"/>
      </sharedItems>
    </cacheField>
    <cacheField name="Sales Document" numFmtId="0">
      <sharedItems containsSemiMixedTypes="0" containsString="0" containsNumber="1" containsInteger="1" minValue="24030" maxValue="68116"/>
    </cacheField>
    <cacheField name="Document Date" numFmtId="14">
      <sharedItems containsSemiMixedTypes="0" containsNonDate="0" containsDate="1" containsString="0" minDate="2020-06-01T00:00:00" maxDate="2020-07-01T00:00:00" count="28">
        <d v="2020-06-01T00:00:00"/>
        <d v="2020-06-02T00:00:00"/>
        <d v="2020-06-07T00:00:00"/>
        <d v="2020-06-08T00:00:00"/>
        <d v="2020-06-09T00:00:00"/>
        <d v="2020-06-10T00:00:00"/>
        <d v="2020-06-11T00:00:00"/>
        <d v="2020-06-12T00:00:00"/>
        <d v="2020-06-13T00:00:00"/>
        <d v="2020-06-14T00:00:00"/>
        <d v="2020-06-15T00:00:00"/>
        <d v="2020-06-16T00:00:00"/>
        <d v="2020-06-03T00:00:00"/>
        <d v="2020-06-04T00:00:00"/>
        <d v="2020-06-05T00:00:00"/>
        <d v="2020-06-06T00:00:00"/>
        <d v="2020-06-17T00:00:00"/>
        <d v="2020-06-18T00:00:00"/>
        <d v="2020-06-19T00:00:00"/>
        <d v="2020-06-20T00:00:00"/>
        <d v="2020-06-21T00:00:00"/>
        <d v="2020-06-22T00:00:00"/>
        <d v="2020-06-23T00:00:00"/>
        <d v="2020-06-25T00:00:00"/>
        <d v="2020-06-29T00:00:00"/>
        <d v="2020-06-30T00:00:00"/>
        <d v="2020-06-24T00:00:00"/>
        <d v="2020-06-26T00:00:00"/>
      </sharedItems>
    </cacheField>
    <cacheField name="Customer Code" numFmtId="0">
      <sharedItems containsSemiMixedTypes="0" containsString="0" containsNumber="1" containsInteger="1" minValue="8010" maxValue="8060"/>
    </cacheField>
    <cacheField name="Customer Name" numFmtId="0">
      <sharedItems/>
    </cacheField>
    <cacheField name="Product Code" numFmtId="0">
      <sharedItems containsSemiMixedTypes="0" containsString="0" containsNumber="1" containsInteger="1" minValue="101" maxValue="118"/>
    </cacheField>
    <cacheField name="Product Description" numFmtId="0">
      <sharedItems count="16">
        <s v="Women type T simple white"/>
        <s v="Women type T simple black"/>
        <s v="Women crop top black"/>
        <s v="Women basics"/>
        <s v="Men type T simple white"/>
        <s v="Men type T simple black"/>
        <s v="Men basics"/>
        <s v="Laptop bag black"/>
        <s v="Men dress shirt black"/>
        <s v="Men dress shirt grey"/>
        <s v="Men shorts grey"/>
        <s v="Men shorts black"/>
        <s v="Unisex tank top white"/>
        <s v="Laptop bag red"/>
        <s v="Smartphone case diamond"/>
        <s v="Smartphone case simple"/>
      </sharedItems>
    </cacheField>
    <cacheField name="Quantity" numFmtId="0">
      <sharedItems containsSemiMixedTypes="0" containsString="0" containsNumber="1" containsInteger="1" minValue="10" maxValue="200"/>
    </cacheField>
    <cacheField name="Sales USD" numFmtId="0">
      <sharedItems containsSemiMixedTypes="0" containsString="0" containsNumber="1" containsInteger="1" minValue="100" maxValue="493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5926.449317129627" backgroundQuery="1" createdVersion="8" refreshedVersion="8" minRefreshableVersion="3" recordCount="0" supportSubquery="1" supportAdvancedDrill="1" xr:uid="{9EF902A8-AB43-4635-8DED-6DBD36040A9F}">
  <cacheSource type="external" connectionId="1"/>
  <cacheFields count="2">
    <cacheField name="[TSales2].[Customer Name].[Customer Name]" caption="Customer Name" numFmtId="0" hierarchy="6" level="1">
      <sharedItems count="4">
        <s v="Aida GmbH"/>
        <s v="Dellicia"/>
        <s v="Erma"/>
        <s v="Liebher"/>
      </sharedItems>
    </cacheField>
    <cacheField name="[Measures].[Distinct Count of Sales Document]" caption="Distinct Count of Sales Document" numFmtId="0" hierarchy="15" level="32767"/>
  </cacheFields>
  <cacheHierarchies count="16">
    <cacheHierarchy uniqueName="[TSales2].[Company]" caption="Company" attribute="1" defaultMemberUniqueName="[TSales2].[Company].[All]" allUniqueName="[TSales2].[Company].[All]" dimensionUniqueName="[TSales2]" displayFolder="" count="0" memberValueDatatype="130" unbalanced="0"/>
    <cacheHierarchy uniqueName="[TSales2].[Company Name]" caption="Company Name" attribute="1" defaultMemberUniqueName="[TSales2].[Company Name].[All]" allUniqueName="[TSales2].[Company Name].[All]" dimensionUniqueName="[TSales2]" displayFolder="" count="0" memberValueDatatype="130" unbalanced="0"/>
    <cacheHierarchy uniqueName="[TSales2].[Region]" caption="Region" attribute="1" defaultMemberUniqueName="[TSales2].[Region].[All]" allUniqueName="[TSales2].[Region].[All]" dimensionUniqueName="[TSales2]" displayFolder="" count="0" memberValueDatatype="130" unbalanced="0"/>
    <cacheHierarchy uniqueName="[TSales2].[Sales Document]" caption="Sales Document" attribute="1" defaultMemberUniqueName="[TSales2].[Sales Document].[All]" allUniqueName="[TSales2].[Sales Document].[All]" dimensionUniqueName="[TSales2]" displayFolder="" count="0" memberValueDatatype="20" unbalanced="0"/>
    <cacheHierarchy uniqueName="[TSales2].[Document Date]" caption="Document Date" attribute="1" time="1" defaultMemberUniqueName="[TSales2].[Document Date].[All]" allUniqueName="[TSales2].[Document Date].[All]" dimensionUniqueName="[TSales2]" displayFolder="" count="0" memberValueDatatype="7" unbalanced="0"/>
    <cacheHierarchy uniqueName="[TSales2].[Customer Code]" caption="Customer Code" attribute="1" defaultMemberUniqueName="[TSales2].[Customer Code].[All]" allUniqueName="[TSales2].[Customer Code].[All]" dimensionUniqueName="[TSales2]" displayFolder="" count="0" memberValueDatatype="20" unbalanced="0"/>
    <cacheHierarchy uniqueName="[TSales2].[Customer Name]" caption="Customer Name" attribute="1" defaultMemberUniqueName="[TSales2].[Customer Name].[All]" allUniqueName="[TSales2].[Customer Name].[All]" dimensionUniqueName="[TSales2]" displayFolder="" count="2" memberValueDatatype="130" unbalanced="0">
      <fieldsUsage count="2">
        <fieldUsage x="-1"/>
        <fieldUsage x="0"/>
      </fieldsUsage>
    </cacheHierarchy>
    <cacheHierarchy uniqueName="[TSales2].[Product Code]" caption="Product Code" attribute="1" defaultMemberUniqueName="[TSales2].[Product Code].[All]" allUniqueName="[TSales2].[Product Code].[All]" dimensionUniqueName="[TSales2]" displayFolder="" count="0" memberValueDatatype="20" unbalanced="0"/>
    <cacheHierarchy uniqueName="[TSales2].[Product Description]" caption="Product Description" attribute="1" defaultMemberUniqueName="[TSales2].[Product Description].[All]" allUniqueName="[TSales2].[Product Description].[All]" dimensionUniqueName="[TSales2]" displayFolder="" count="0" memberValueDatatype="130" unbalanced="0"/>
    <cacheHierarchy uniqueName="[TSales2].[Quantity]" caption="Quantity" attribute="1" defaultMemberUniqueName="[TSales2].[Quantity].[All]" allUniqueName="[TSales2].[Quantity].[All]" dimensionUniqueName="[TSales2]" displayFolder="" count="0" memberValueDatatype="20" unbalanced="0"/>
    <cacheHierarchy uniqueName="[TSales2].[Sales USD]" caption="Sales USD" attribute="1" defaultMemberUniqueName="[TSales2].[Sales USD].[All]" allUniqueName="[TSales2].[Sales USD].[All]" dimensionUniqueName="[TSales2]" displayFolder="" count="0" memberValueDatatype="20" unbalanced="0"/>
    <cacheHierarchy uniqueName="[TSales2].[Category]" caption="Category" attribute="1" defaultMemberUniqueName="[TSales2].[Category].[All]" allUniqueName="[TSales2].[Category].[All]" dimensionUniqueName="[TSales2]" displayFolder="" count="0" memberValueDatatype="130" unbalanced="0"/>
    <cacheHierarchy uniqueName="[Measures].[__XL_Count TSales2]" caption="__XL_Count TSales2" measure="1" displayFolder="" measureGroup="TSales2" count="0" hidden="1"/>
    <cacheHierarchy uniqueName="[Measures].[__No measures defined]" caption="__No measures defined" measure="1" displayFolder="" count="0" hidden="1"/>
    <cacheHierarchy uniqueName="[Measures].[Sum of Sales Document]" caption="Sum of Sales Document" measure="1" displayFolder="" measureGroup="TSales2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Distinct Count of Sales Document]" caption="Distinct Count of Sales Document" measure="1" displayFolder="" measureGroup="TSales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2">
    <dimension measure="1" name="Measures" uniqueName="[Measures]" caption="Measures"/>
    <dimension name="TSales2" uniqueName="[TSales2]" caption="TSales2"/>
  </dimensions>
  <measureGroups count="1">
    <measureGroup name="TSales2" caption="TSales2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5926.757767361109" createdVersion="8" refreshedVersion="8" minRefreshableVersion="3" recordCount="105" xr:uid="{581C6DDC-5FA3-41C5-87B8-BDFDB82CD55B}">
  <cacheSource type="worksheet">
    <worksheetSource name="TSales2"/>
  </cacheSource>
  <cacheFields count="14">
    <cacheField name="Company" numFmtId="0">
      <sharedItems/>
    </cacheField>
    <cacheField name="Company Name" numFmtId="0">
      <sharedItems count="3">
        <s v="Urban Right"/>
        <s v="Meta Creations"/>
        <s v="Lucas Basics"/>
      </sharedItems>
    </cacheField>
    <cacheField name="Region" numFmtId="0">
      <sharedItems count="2">
        <s v="America"/>
        <s v="Europe"/>
      </sharedItems>
    </cacheField>
    <cacheField name="Sales Document" numFmtId="0">
      <sharedItems containsSemiMixedTypes="0" containsString="0" containsNumber="1" containsInteger="1" minValue="24030" maxValue="68116" count="38">
        <n v="66030"/>
        <n v="66032"/>
        <n v="66031"/>
        <n v="68112"/>
        <n v="68116"/>
        <n v="65662"/>
        <n v="65666"/>
        <n v="66015"/>
        <n v="66017"/>
        <n v="66016"/>
        <n v="68097"/>
        <n v="68099"/>
        <n v="68101"/>
        <n v="65627"/>
        <n v="65629"/>
        <n v="65631"/>
        <n v="24030"/>
        <n v="24031"/>
        <n v="28112"/>
        <n v="25442"/>
        <n v="44030"/>
        <n v="44032"/>
        <n v="44031"/>
        <n v="48112"/>
        <n v="48114"/>
        <n v="48116"/>
        <n v="45442"/>
        <n v="45444"/>
        <n v="45446"/>
        <n v="44015"/>
        <n v="44017"/>
        <n v="44016"/>
        <n v="48097"/>
        <n v="48099"/>
        <n v="48101"/>
        <n v="45427"/>
        <n v="45429"/>
        <n v="45431"/>
      </sharedItems>
    </cacheField>
    <cacheField name="Document Date" numFmtId="164">
      <sharedItems containsSemiMixedTypes="0" containsNonDate="0" containsDate="1" containsString="0" minDate="2020-06-01T00:00:00" maxDate="2020-07-01T00:00:00" count="28">
        <d v="2020-06-01T00:00:00"/>
        <d v="2020-06-02T00:00:00"/>
        <d v="2020-06-07T00:00:00"/>
        <d v="2020-06-08T00:00:00"/>
        <d v="2020-06-09T00:00:00"/>
        <d v="2020-06-10T00:00:00"/>
        <d v="2020-06-11T00:00:00"/>
        <d v="2020-06-12T00:00:00"/>
        <d v="2020-06-13T00:00:00"/>
        <d v="2020-06-14T00:00:00"/>
        <d v="2020-06-15T00:00:00"/>
        <d v="2020-06-16T00:00:00"/>
        <d v="2020-06-03T00:00:00"/>
        <d v="2020-06-04T00:00:00"/>
        <d v="2020-06-05T00:00:00"/>
        <d v="2020-06-06T00:00:00"/>
        <d v="2020-06-17T00:00:00"/>
        <d v="2020-06-18T00:00:00"/>
        <d v="2020-06-19T00:00:00"/>
        <d v="2020-06-20T00:00:00"/>
        <d v="2020-06-21T00:00:00"/>
        <d v="2020-06-22T00:00:00"/>
        <d v="2020-06-23T00:00:00"/>
        <d v="2020-06-25T00:00:00"/>
        <d v="2020-06-29T00:00:00"/>
        <d v="2020-06-30T00:00:00"/>
        <d v="2020-06-24T00:00:00"/>
        <d v="2020-06-26T00:00:00"/>
      </sharedItems>
      <fieldGroup par="12"/>
    </cacheField>
    <cacheField name="Customer Code" numFmtId="0">
      <sharedItems containsSemiMixedTypes="0" containsString="0" containsNumber="1" containsInteger="1" minValue="8010" maxValue="8060"/>
    </cacheField>
    <cacheField name="Customer Name" numFmtId="0">
      <sharedItems count="4">
        <s v="Dellicia"/>
        <s v="Erma"/>
        <s v="Liebher"/>
        <s v="Aida GmbH"/>
      </sharedItems>
    </cacheField>
    <cacheField name="Product Code" numFmtId="0">
      <sharedItems containsSemiMixedTypes="0" containsString="0" containsNumber="1" containsInteger="1" minValue="101" maxValue="118"/>
    </cacheField>
    <cacheField name="Product Description" numFmtId="0">
      <sharedItems count="16">
        <s v="Women type T simple white"/>
        <s v="Women type T simple black"/>
        <s v="Women crop top black"/>
        <s v="Women basics"/>
        <s v="Men type T simple white"/>
        <s v="Men type T simple black"/>
        <s v="Men basics"/>
        <s v="Laptop bag black"/>
        <s v="Men dress shirt black"/>
        <s v="Men dress shirt grey"/>
        <s v="Men shorts grey"/>
        <s v="Men shorts black"/>
        <s v="Unisex tank top white"/>
        <s v="Laptop bag red"/>
        <s v="Smartphone case diamond"/>
        <s v="Smartphone case simple"/>
      </sharedItems>
      <fieldGroup par="13"/>
    </cacheField>
    <cacheField name="Quantity" numFmtId="0">
      <sharedItems containsSemiMixedTypes="0" containsString="0" containsNumber="1" containsInteger="1" minValue="10" maxValue="200"/>
    </cacheField>
    <cacheField name="Sales USD" numFmtId="0">
      <sharedItems containsSemiMixedTypes="0" containsString="0" containsNumber="1" containsInteger="1" minValue="100" maxValue="4930"/>
    </cacheField>
    <cacheField name="Category" numFmtId="0">
      <sharedItems count="5">
        <s v="Women"/>
        <s v="Men"/>
        <s v="Laptop"/>
        <s v="Unisex"/>
        <s v="Smartphone"/>
      </sharedItems>
    </cacheField>
    <cacheField name="Days (Document Date)" numFmtId="0" databaseField="0">
      <fieldGroup base="4">
        <rangePr autoEnd="0" groupBy="days" startDate="2020-06-01T00:00:00" endDate="2020-06-30T00:00:00"/>
        <groupItems count="368">
          <s v="&lt;6/1/2020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6/30/2020"/>
        </groupItems>
      </fieldGroup>
    </cacheField>
    <cacheField name="Product Description2" numFmtId="0" databaseField="0">
      <fieldGroup base="8">
        <discretePr count="16">
          <x v="3"/>
          <x v="3"/>
          <x v="3"/>
          <x v="3"/>
          <x v="3"/>
          <x v="3"/>
          <x v="3"/>
          <x v="3"/>
          <x v="3"/>
          <x v="3"/>
          <x v="3"/>
          <x v="3"/>
          <x v="3"/>
          <x v="0"/>
          <x v="1"/>
          <x v="2"/>
        </discretePr>
        <groupItems count="4">
          <s v="Laptop bag red"/>
          <s v="Smartphone case diamond"/>
          <s v="Smartphone case simple"/>
          <s v="Group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5">
  <r>
    <x v="0"/>
    <x v="0"/>
    <x v="0"/>
    <n v="66030"/>
    <x v="0"/>
    <n v="8010"/>
    <s v="Dellicia"/>
    <n v="103"/>
    <x v="0"/>
    <n v="120"/>
    <n v="1440"/>
  </r>
  <r>
    <x v="0"/>
    <x v="0"/>
    <x v="0"/>
    <n v="66030"/>
    <x v="1"/>
    <n v="8010"/>
    <s v="Dellicia"/>
    <n v="104"/>
    <x v="1"/>
    <n v="150"/>
    <n v="1800"/>
  </r>
  <r>
    <x v="0"/>
    <x v="0"/>
    <x v="0"/>
    <n v="66032"/>
    <x v="0"/>
    <n v="8010"/>
    <s v="Dellicia"/>
    <n v="103"/>
    <x v="0"/>
    <n v="170"/>
    <n v="2040"/>
  </r>
  <r>
    <x v="0"/>
    <x v="0"/>
    <x v="0"/>
    <n v="66032"/>
    <x v="1"/>
    <n v="8010"/>
    <s v="Dellicia"/>
    <n v="104"/>
    <x v="1"/>
    <n v="140"/>
    <n v="1680"/>
  </r>
  <r>
    <x v="0"/>
    <x v="0"/>
    <x v="0"/>
    <n v="66031"/>
    <x v="0"/>
    <n v="8020"/>
    <s v="Erma"/>
    <n v="103"/>
    <x v="0"/>
    <n v="140"/>
    <n v="1680"/>
  </r>
  <r>
    <x v="0"/>
    <x v="0"/>
    <x v="0"/>
    <n v="66031"/>
    <x v="1"/>
    <n v="8020"/>
    <s v="Erma"/>
    <n v="104"/>
    <x v="1"/>
    <n v="150"/>
    <n v="1800"/>
  </r>
  <r>
    <x v="0"/>
    <x v="0"/>
    <x v="0"/>
    <n v="66031"/>
    <x v="2"/>
    <n v="8020"/>
    <s v="Erma"/>
    <n v="105"/>
    <x v="2"/>
    <n v="100"/>
    <n v="1000"/>
  </r>
  <r>
    <x v="0"/>
    <x v="0"/>
    <x v="0"/>
    <n v="68112"/>
    <x v="3"/>
    <n v="8010"/>
    <s v="Dellicia"/>
    <n v="104"/>
    <x v="1"/>
    <n v="180"/>
    <n v="2160"/>
  </r>
  <r>
    <x v="0"/>
    <x v="0"/>
    <x v="0"/>
    <n v="68112"/>
    <x v="4"/>
    <n v="8010"/>
    <s v="Dellicia"/>
    <n v="105"/>
    <x v="2"/>
    <n v="120"/>
    <n v="1200"/>
  </r>
  <r>
    <x v="0"/>
    <x v="0"/>
    <x v="0"/>
    <n v="68116"/>
    <x v="5"/>
    <n v="8020"/>
    <s v="Erma"/>
    <n v="104"/>
    <x v="1"/>
    <n v="150"/>
    <n v="1800"/>
  </r>
  <r>
    <x v="0"/>
    <x v="0"/>
    <x v="0"/>
    <n v="68116"/>
    <x v="6"/>
    <n v="8020"/>
    <s v="Erma"/>
    <n v="105"/>
    <x v="2"/>
    <n v="190"/>
    <n v="1900"/>
  </r>
  <r>
    <x v="0"/>
    <x v="0"/>
    <x v="0"/>
    <n v="68116"/>
    <x v="7"/>
    <n v="8020"/>
    <s v="Erma"/>
    <n v="107"/>
    <x v="3"/>
    <n v="160"/>
    <n v="800"/>
  </r>
  <r>
    <x v="0"/>
    <x v="0"/>
    <x v="0"/>
    <n v="68116"/>
    <x v="8"/>
    <n v="8010"/>
    <s v="Dellicia"/>
    <n v="104"/>
    <x v="1"/>
    <n v="160"/>
    <n v="1920"/>
  </r>
  <r>
    <x v="0"/>
    <x v="0"/>
    <x v="0"/>
    <n v="68116"/>
    <x v="9"/>
    <n v="8010"/>
    <s v="Dellicia"/>
    <n v="105"/>
    <x v="2"/>
    <n v="190"/>
    <n v="1900"/>
  </r>
  <r>
    <x v="0"/>
    <x v="0"/>
    <x v="0"/>
    <n v="65662"/>
    <x v="10"/>
    <n v="8020"/>
    <s v="Erma"/>
    <n v="103"/>
    <x v="0"/>
    <n v="120"/>
    <n v="1440"/>
  </r>
  <r>
    <x v="0"/>
    <x v="0"/>
    <x v="0"/>
    <n v="65662"/>
    <x v="11"/>
    <n v="8020"/>
    <s v="Erma"/>
    <n v="104"/>
    <x v="1"/>
    <n v="110"/>
    <n v="1320"/>
  </r>
  <r>
    <x v="0"/>
    <x v="0"/>
    <x v="0"/>
    <n v="65666"/>
    <x v="1"/>
    <n v="8010"/>
    <s v="Dellicia"/>
    <n v="103"/>
    <x v="0"/>
    <n v="120"/>
    <n v="1440"/>
  </r>
  <r>
    <x v="0"/>
    <x v="0"/>
    <x v="0"/>
    <n v="65666"/>
    <x v="12"/>
    <n v="8010"/>
    <s v="Dellicia"/>
    <n v="104"/>
    <x v="1"/>
    <n v="140"/>
    <n v="1680"/>
  </r>
  <r>
    <x v="0"/>
    <x v="0"/>
    <x v="0"/>
    <n v="65666"/>
    <x v="13"/>
    <n v="8010"/>
    <s v="Dellicia"/>
    <n v="105"/>
    <x v="2"/>
    <n v="160"/>
    <n v="1600"/>
  </r>
  <r>
    <x v="0"/>
    <x v="0"/>
    <x v="0"/>
    <n v="65666"/>
    <x v="14"/>
    <n v="8020"/>
    <s v="Erma"/>
    <n v="107"/>
    <x v="3"/>
    <n v="120"/>
    <n v="600"/>
  </r>
  <r>
    <x v="0"/>
    <x v="0"/>
    <x v="0"/>
    <n v="65666"/>
    <x v="15"/>
    <n v="8020"/>
    <s v="Erma"/>
    <n v="103"/>
    <x v="0"/>
    <n v="200"/>
    <n v="2400"/>
  </r>
  <r>
    <x v="0"/>
    <x v="0"/>
    <x v="0"/>
    <n v="66015"/>
    <x v="5"/>
    <n v="8010"/>
    <s v="Dellicia"/>
    <n v="103"/>
    <x v="0"/>
    <n v="140"/>
    <n v="1680"/>
  </r>
  <r>
    <x v="0"/>
    <x v="0"/>
    <x v="0"/>
    <n v="66015"/>
    <x v="6"/>
    <n v="8010"/>
    <s v="Dellicia"/>
    <n v="104"/>
    <x v="1"/>
    <n v="140"/>
    <n v="1680"/>
  </r>
  <r>
    <x v="0"/>
    <x v="0"/>
    <x v="0"/>
    <n v="66017"/>
    <x v="7"/>
    <n v="8010"/>
    <s v="Dellicia"/>
    <n v="103"/>
    <x v="0"/>
    <n v="140"/>
    <n v="1680"/>
  </r>
  <r>
    <x v="0"/>
    <x v="0"/>
    <x v="0"/>
    <n v="66017"/>
    <x v="8"/>
    <n v="8010"/>
    <s v="Dellicia"/>
    <n v="104"/>
    <x v="1"/>
    <n v="140"/>
    <n v="1680"/>
  </r>
  <r>
    <x v="0"/>
    <x v="0"/>
    <x v="0"/>
    <n v="66016"/>
    <x v="9"/>
    <n v="8020"/>
    <s v="Erma"/>
    <n v="103"/>
    <x v="0"/>
    <n v="120"/>
    <n v="1440"/>
  </r>
  <r>
    <x v="0"/>
    <x v="0"/>
    <x v="0"/>
    <n v="66016"/>
    <x v="10"/>
    <n v="8020"/>
    <s v="Erma"/>
    <n v="104"/>
    <x v="1"/>
    <n v="130"/>
    <n v="1560"/>
  </r>
  <r>
    <x v="0"/>
    <x v="0"/>
    <x v="0"/>
    <n v="66016"/>
    <x v="11"/>
    <n v="8020"/>
    <s v="Erma"/>
    <n v="105"/>
    <x v="2"/>
    <n v="120"/>
    <n v="1200"/>
  </r>
  <r>
    <x v="0"/>
    <x v="0"/>
    <x v="0"/>
    <n v="68097"/>
    <x v="16"/>
    <n v="8010"/>
    <s v="Dellicia"/>
    <n v="104"/>
    <x v="1"/>
    <n v="140"/>
    <n v="1680"/>
  </r>
  <r>
    <x v="0"/>
    <x v="0"/>
    <x v="0"/>
    <n v="68097"/>
    <x v="17"/>
    <n v="8010"/>
    <s v="Dellicia"/>
    <n v="105"/>
    <x v="2"/>
    <n v="130"/>
    <n v="1300"/>
  </r>
  <r>
    <x v="0"/>
    <x v="0"/>
    <x v="0"/>
    <n v="68099"/>
    <x v="18"/>
    <n v="8020"/>
    <s v="Erma"/>
    <n v="104"/>
    <x v="1"/>
    <n v="120"/>
    <n v="1440"/>
  </r>
  <r>
    <x v="0"/>
    <x v="0"/>
    <x v="0"/>
    <n v="68099"/>
    <x v="19"/>
    <n v="8020"/>
    <s v="Erma"/>
    <n v="105"/>
    <x v="2"/>
    <n v="140"/>
    <n v="1400"/>
  </r>
  <r>
    <x v="0"/>
    <x v="0"/>
    <x v="0"/>
    <n v="68099"/>
    <x v="20"/>
    <n v="8020"/>
    <s v="Erma"/>
    <n v="107"/>
    <x v="3"/>
    <n v="170"/>
    <n v="850"/>
  </r>
  <r>
    <x v="0"/>
    <x v="0"/>
    <x v="0"/>
    <n v="68101"/>
    <x v="10"/>
    <n v="8010"/>
    <s v="Dellicia"/>
    <n v="104"/>
    <x v="1"/>
    <n v="190"/>
    <n v="2280"/>
  </r>
  <r>
    <x v="0"/>
    <x v="0"/>
    <x v="0"/>
    <n v="68101"/>
    <x v="11"/>
    <n v="8010"/>
    <s v="Dellicia"/>
    <n v="105"/>
    <x v="2"/>
    <n v="140"/>
    <n v="1400"/>
  </r>
  <r>
    <x v="0"/>
    <x v="0"/>
    <x v="0"/>
    <n v="65627"/>
    <x v="16"/>
    <n v="8020"/>
    <s v="Erma"/>
    <n v="103"/>
    <x v="0"/>
    <n v="140"/>
    <n v="1680"/>
  </r>
  <r>
    <x v="0"/>
    <x v="0"/>
    <x v="0"/>
    <n v="65627"/>
    <x v="17"/>
    <n v="8020"/>
    <s v="Erma"/>
    <n v="104"/>
    <x v="1"/>
    <n v="160"/>
    <n v="1920"/>
  </r>
  <r>
    <x v="0"/>
    <x v="0"/>
    <x v="0"/>
    <n v="65629"/>
    <x v="18"/>
    <n v="8010"/>
    <s v="Dellicia"/>
    <n v="103"/>
    <x v="0"/>
    <n v="190"/>
    <n v="2280"/>
  </r>
  <r>
    <x v="0"/>
    <x v="0"/>
    <x v="0"/>
    <n v="65629"/>
    <x v="19"/>
    <n v="8010"/>
    <s v="Dellicia"/>
    <n v="104"/>
    <x v="1"/>
    <n v="130"/>
    <n v="1560"/>
  </r>
  <r>
    <x v="0"/>
    <x v="0"/>
    <x v="0"/>
    <n v="65629"/>
    <x v="20"/>
    <n v="8010"/>
    <s v="Dellicia"/>
    <n v="105"/>
    <x v="2"/>
    <n v="140"/>
    <n v="1400"/>
  </r>
  <r>
    <x v="0"/>
    <x v="0"/>
    <x v="0"/>
    <n v="65631"/>
    <x v="21"/>
    <n v="8020"/>
    <s v="Erma"/>
    <n v="107"/>
    <x v="3"/>
    <n v="190"/>
    <n v="950"/>
  </r>
  <r>
    <x v="0"/>
    <x v="0"/>
    <x v="0"/>
    <n v="65631"/>
    <x v="22"/>
    <n v="8020"/>
    <s v="Erma"/>
    <n v="103"/>
    <x v="0"/>
    <n v="120"/>
    <n v="1440"/>
  </r>
  <r>
    <x v="1"/>
    <x v="1"/>
    <x v="0"/>
    <n v="24030"/>
    <x v="0"/>
    <n v="8020"/>
    <s v="Erma"/>
    <n v="101"/>
    <x v="4"/>
    <n v="130"/>
    <n v="1560"/>
  </r>
  <r>
    <x v="1"/>
    <x v="1"/>
    <x v="0"/>
    <n v="24030"/>
    <x v="1"/>
    <n v="8020"/>
    <s v="Erma"/>
    <n v="102"/>
    <x v="5"/>
    <n v="30"/>
    <n v="360"/>
  </r>
  <r>
    <x v="1"/>
    <x v="1"/>
    <x v="0"/>
    <n v="24030"/>
    <x v="12"/>
    <n v="8020"/>
    <s v="Erma"/>
    <n v="106"/>
    <x v="6"/>
    <n v="60"/>
    <n v="300"/>
  </r>
  <r>
    <x v="1"/>
    <x v="1"/>
    <x v="0"/>
    <n v="24030"/>
    <x v="13"/>
    <n v="8020"/>
    <s v="Erma"/>
    <n v="108"/>
    <x v="7"/>
    <n v="80"/>
    <n v="2240"/>
  </r>
  <r>
    <x v="1"/>
    <x v="1"/>
    <x v="0"/>
    <n v="24031"/>
    <x v="14"/>
    <n v="8020"/>
    <s v="Erma"/>
    <n v="101"/>
    <x v="4"/>
    <n v="100"/>
    <n v="1200"/>
  </r>
  <r>
    <x v="1"/>
    <x v="1"/>
    <x v="0"/>
    <n v="24031"/>
    <x v="15"/>
    <n v="8020"/>
    <s v="Erma"/>
    <n v="108"/>
    <x v="7"/>
    <n v="20"/>
    <n v="560"/>
  </r>
  <r>
    <x v="1"/>
    <x v="1"/>
    <x v="0"/>
    <n v="24031"/>
    <x v="2"/>
    <n v="8020"/>
    <s v="Erma"/>
    <n v="113"/>
    <x v="8"/>
    <n v="100"/>
    <n v="2500"/>
  </r>
  <r>
    <x v="1"/>
    <x v="1"/>
    <x v="0"/>
    <n v="28112"/>
    <x v="3"/>
    <n v="8020"/>
    <s v="Erma"/>
    <n v="114"/>
    <x v="9"/>
    <n v="50"/>
    <n v="1250"/>
  </r>
  <r>
    <x v="1"/>
    <x v="1"/>
    <x v="0"/>
    <n v="28112"/>
    <x v="4"/>
    <n v="8020"/>
    <s v="Erma"/>
    <n v="101"/>
    <x v="4"/>
    <n v="40"/>
    <n v="480"/>
  </r>
  <r>
    <x v="1"/>
    <x v="1"/>
    <x v="0"/>
    <n v="28112"/>
    <x v="5"/>
    <n v="8020"/>
    <s v="Erma"/>
    <n v="102"/>
    <x v="5"/>
    <n v="70"/>
    <n v="840"/>
  </r>
  <r>
    <x v="1"/>
    <x v="1"/>
    <x v="0"/>
    <n v="28112"/>
    <x v="6"/>
    <n v="8020"/>
    <s v="Erma"/>
    <n v="106"/>
    <x v="6"/>
    <n v="70"/>
    <n v="350"/>
  </r>
  <r>
    <x v="1"/>
    <x v="1"/>
    <x v="0"/>
    <n v="28112"/>
    <x v="7"/>
    <n v="8020"/>
    <s v="Erma"/>
    <n v="108"/>
    <x v="7"/>
    <n v="10"/>
    <n v="280"/>
  </r>
  <r>
    <x v="1"/>
    <x v="1"/>
    <x v="0"/>
    <n v="28112"/>
    <x v="8"/>
    <n v="8020"/>
    <s v="Erma"/>
    <n v="117"/>
    <x v="10"/>
    <n v="80"/>
    <n v="1440"/>
  </r>
  <r>
    <x v="1"/>
    <x v="1"/>
    <x v="0"/>
    <n v="28112"/>
    <x v="9"/>
    <n v="8020"/>
    <s v="Erma"/>
    <n v="118"/>
    <x v="11"/>
    <n v="70"/>
    <n v="1260"/>
  </r>
  <r>
    <x v="1"/>
    <x v="1"/>
    <x v="0"/>
    <n v="25442"/>
    <x v="10"/>
    <n v="8010"/>
    <s v="Dellicia"/>
    <n v="118"/>
    <x v="11"/>
    <n v="70"/>
    <n v="1260"/>
  </r>
  <r>
    <x v="1"/>
    <x v="1"/>
    <x v="0"/>
    <n v="25442"/>
    <x v="11"/>
    <n v="8010"/>
    <s v="Dellicia"/>
    <n v="117"/>
    <x v="10"/>
    <n v="80"/>
    <n v="1440"/>
  </r>
  <r>
    <x v="1"/>
    <x v="1"/>
    <x v="0"/>
    <n v="25442"/>
    <x v="16"/>
    <n v="8010"/>
    <s v="Dellicia"/>
    <n v="118"/>
    <x v="11"/>
    <n v="70"/>
    <n v="1260"/>
  </r>
  <r>
    <x v="1"/>
    <x v="1"/>
    <x v="0"/>
    <n v="25442"/>
    <x v="17"/>
    <n v="8010"/>
    <s v="Dellicia"/>
    <n v="116"/>
    <x v="12"/>
    <n v="60"/>
    <n v="360"/>
  </r>
  <r>
    <x v="1"/>
    <x v="1"/>
    <x v="0"/>
    <n v="25442"/>
    <x v="18"/>
    <n v="8010"/>
    <s v="Dellicia"/>
    <n v="106"/>
    <x v="6"/>
    <n v="20"/>
    <n v="100"/>
  </r>
  <r>
    <x v="1"/>
    <x v="1"/>
    <x v="0"/>
    <n v="25442"/>
    <x v="19"/>
    <n v="8010"/>
    <s v="Dellicia"/>
    <n v="101"/>
    <x v="4"/>
    <n v="40"/>
    <n v="480"/>
  </r>
  <r>
    <x v="1"/>
    <x v="1"/>
    <x v="0"/>
    <n v="25442"/>
    <x v="20"/>
    <n v="8010"/>
    <s v="Dellicia"/>
    <n v="102"/>
    <x v="5"/>
    <n v="10"/>
    <n v="120"/>
  </r>
  <r>
    <x v="2"/>
    <x v="2"/>
    <x v="1"/>
    <n v="44030"/>
    <x v="0"/>
    <n v="8060"/>
    <s v="Liebher"/>
    <n v="108"/>
    <x v="7"/>
    <n v="60"/>
    <n v="1970"/>
  </r>
  <r>
    <x v="2"/>
    <x v="2"/>
    <x v="1"/>
    <n v="44030"/>
    <x v="1"/>
    <n v="8060"/>
    <s v="Liebher"/>
    <n v="109"/>
    <x v="13"/>
    <n v="60"/>
    <n v="1970"/>
  </r>
  <r>
    <x v="2"/>
    <x v="2"/>
    <x v="1"/>
    <n v="44032"/>
    <x v="0"/>
    <n v="8060"/>
    <s v="Liebher"/>
    <n v="108"/>
    <x v="7"/>
    <n v="60"/>
    <n v="1970"/>
  </r>
  <r>
    <x v="2"/>
    <x v="2"/>
    <x v="1"/>
    <n v="44032"/>
    <x v="1"/>
    <n v="8060"/>
    <s v="Liebher"/>
    <n v="109"/>
    <x v="13"/>
    <n v="70"/>
    <n v="2300"/>
  </r>
  <r>
    <x v="2"/>
    <x v="2"/>
    <x v="1"/>
    <n v="44031"/>
    <x v="0"/>
    <n v="8050"/>
    <s v="Aida GmbH"/>
    <n v="108"/>
    <x v="7"/>
    <n v="60"/>
    <n v="1970"/>
  </r>
  <r>
    <x v="2"/>
    <x v="2"/>
    <x v="1"/>
    <n v="44031"/>
    <x v="1"/>
    <n v="8050"/>
    <s v="Aida GmbH"/>
    <n v="109"/>
    <x v="13"/>
    <n v="50"/>
    <n v="1640"/>
  </r>
  <r>
    <x v="2"/>
    <x v="2"/>
    <x v="1"/>
    <n v="44031"/>
    <x v="2"/>
    <n v="8050"/>
    <s v="Aida GmbH"/>
    <n v="110"/>
    <x v="14"/>
    <n v="60"/>
    <n v="4230"/>
  </r>
  <r>
    <x v="2"/>
    <x v="2"/>
    <x v="1"/>
    <n v="48112"/>
    <x v="3"/>
    <n v="8060"/>
    <s v="Liebher"/>
    <n v="109"/>
    <x v="13"/>
    <n v="60"/>
    <n v="1970"/>
  </r>
  <r>
    <x v="2"/>
    <x v="2"/>
    <x v="1"/>
    <n v="48112"/>
    <x v="4"/>
    <n v="8060"/>
    <s v="Liebher"/>
    <n v="110"/>
    <x v="14"/>
    <n v="50"/>
    <n v="3520"/>
  </r>
  <r>
    <x v="2"/>
    <x v="2"/>
    <x v="1"/>
    <n v="48114"/>
    <x v="3"/>
    <n v="8050"/>
    <s v="Aida GmbH"/>
    <n v="109"/>
    <x v="13"/>
    <n v="60"/>
    <n v="1970"/>
  </r>
  <r>
    <x v="2"/>
    <x v="2"/>
    <x v="1"/>
    <n v="48114"/>
    <x v="4"/>
    <n v="8050"/>
    <s v="Aida GmbH"/>
    <n v="110"/>
    <x v="14"/>
    <n v="60"/>
    <n v="4230"/>
  </r>
  <r>
    <x v="2"/>
    <x v="2"/>
    <x v="1"/>
    <n v="48114"/>
    <x v="7"/>
    <n v="8050"/>
    <s v="Aida GmbH"/>
    <n v="111"/>
    <x v="15"/>
    <n v="80"/>
    <n v="1880"/>
  </r>
  <r>
    <x v="2"/>
    <x v="2"/>
    <x v="1"/>
    <n v="48116"/>
    <x v="3"/>
    <n v="8060"/>
    <s v="Liebher"/>
    <n v="109"/>
    <x v="13"/>
    <n v="60"/>
    <n v="1970"/>
  </r>
  <r>
    <x v="2"/>
    <x v="2"/>
    <x v="1"/>
    <n v="48116"/>
    <x v="4"/>
    <n v="8060"/>
    <s v="Liebher"/>
    <n v="110"/>
    <x v="14"/>
    <n v="60"/>
    <n v="4230"/>
  </r>
  <r>
    <x v="2"/>
    <x v="2"/>
    <x v="1"/>
    <n v="45442"/>
    <x v="10"/>
    <n v="8050"/>
    <s v="Aida GmbH"/>
    <n v="108"/>
    <x v="7"/>
    <n v="50"/>
    <n v="1640"/>
  </r>
  <r>
    <x v="2"/>
    <x v="2"/>
    <x v="1"/>
    <n v="45442"/>
    <x v="11"/>
    <n v="8050"/>
    <s v="Aida GmbH"/>
    <n v="109"/>
    <x v="13"/>
    <n v="60"/>
    <n v="1970"/>
  </r>
  <r>
    <x v="2"/>
    <x v="2"/>
    <x v="1"/>
    <n v="45444"/>
    <x v="10"/>
    <n v="8060"/>
    <s v="Liebher"/>
    <n v="108"/>
    <x v="7"/>
    <n v="60"/>
    <n v="1970"/>
  </r>
  <r>
    <x v="2"/>
    <x v="2"/>
    <x v="1"/>
    <n v="45444"/>
    <x v="11"/>
    <n v="8060"/>
    <s v="Liebher"/>
    <n v="109"/>
    <x v="13"/>
    <n v="70"/>
    <n v="2300"/>
  </r>
  <r>
    <x v="2"/>
    <x v="2"/>
    <x v="1"/>
    <n v="45444"/>
    <x v="18"/>
    <n v="8060"/>
    <s v="Liebher"/>
    <n v="110"/>
    <x v="14"/>
    <n v="60"/>
    <n v="4230"/>
  </r>
  <r>
    <x v="2"/>
    <x v="2"/>
    <x v="1"/>
    <n v="45446"/>
    <x v="10"/>
    <n v="8050"/>
    <s v="Aida GmbH"/>
    <n v="111"/>
    <x v="15"/>
    <n v="80"/>
    <n v="1880"/>
  </r>
  <r>
    <x v="2"/>
    <x v="2"/>
    <x v="1"/>
    <n v="45446"/>
    <x v="11"/>
    <n v="8050"/>
    <s v="Aida GmbH"/>
    <n v="108"/>
    <x v="7"/>
    <n v="50"/>
    <n v="1640"/>
  </r>
  <r>
    <x v="2"/>
    <x v="2"/>
    <x v="1"/>
    <n v="44015"/>
    <x v="17"/>
    <n v="8060"/>
    <s v="Liebher"/>
    <n v="108"/>
    <x v="7"/>
    <n v="60"/>
    <n v="1970"/>
  </r>
  <r>
    <x v="2"/>
    <x v="2"/>
    <x v="1"/>
    <n v="44015"/>
    <x v="22"/>
    <n v="8060"/>
    <s v="Liebher"/>
    <n v="109"/>
    <x v="13"/>
    <n v="70"/>
    <n v="2300"/>
  </r>
  <r>
    <x v="2"/>
    <x v="2"/>
    <x v="1"/>
    <n v="44017"/>
    <x v="11"/>
    <n v="8060"/>
    <s v="Liebher"/>
    <n v="108"/>
    <x v="7"/>
    <n v="70"/>
    <n v="2300"/>
  </r>
  <r>
    <x v="2"/>
    <x v="2"/>
    <x v="1"/>
    <n v="44017"/>
    <x v="23"/>
    <n v="8060"/>
    <s v="Liebher"/>
    <n v="109"/>
    <x v="13"/>
    <n v="70"/>
    <n v="2300"/>
  </r>
  <r>
    <x v="2"/>
    <x v="2"/>
    <x v="1"/>
    <n v="44016"/>
    <x v="11"/>
    <n v="8050"/>
    <s v="Aida GmbH"/>
    <n v="108"/>
    <x v="7"/>
    <n v="70"/>
    <n v="2300"/>
  </r>
  <r>
    <x v="2"/>
    <x v="2"/>
    <x v="1"/>
    <n v="44016"/>
    <x v="17"/>
    <n v="8050"/>
    <s v="Aida GmbH"/>
    <n v="109"/>
    <x v="13"/>
    <n v="60"/>
    <n v="1970"/>
  </r>
  <r>
    <x v="2"/>
    <x v="2"/>
    <x v="1"/>
    <n v="44016"/>
    <x v="22"/>
    <n v="8050"/>
    <s v="Aida GmbH"/>
    <n v="110"/>
    <x v="14"/>
    <n v="50"/>
    <n v="3520"/>
  </r>
  <r>
    <x v="2"/>
    <x v="2"/>
    <x v="1"/>
    <n v="48097"/>
    <x v="24"/>
    <n v="8060"/>
    <s v="Liebher"/>
    <n v="109"/>
    <x v="13"/>
    <n v="60"/>
    <n v="1970"/>
  </r>
  <r>
    <x v="2"/>
    <x v="2"/>
    <x v="1"/>
    <n v="48097"/>
    <x v="25"/>
    <n v="8060"/>
    <s v="Liebher"/>
    <n v="110"/>
    <x v="14"/>
    <n v="70"/>
    <n v="4930"/>
  </r>
  <r>
    <x v="2"/>
    <x v="2"/>
    <x v="1"/>
    <n v="48099"/>
    <x v="10"/>
    <n v="8050"/>
    <s v="Aida GmbH"/>
    <n v="109"/>
    <x v="13"/>
    <n v="60"/>
    <n v="1970"/>
  </r>
  <r>
    <x v="2"/>
    <x v="2"/>
    <x v="1"/>
    <n v="48099"/>
    <x v="11"/>
    <n v="8050"/>
    <s v="Aida GmbH"/>
    <n v="110"/>
    <x v="14"/>
    <n v="60"/>
    <n v="4230"/>
  </r>
  <r>
    <x v="2"/>
    <x v="2"/>
    <x v="1"/>
    <n v="48099"/>
    <x v="16"/>
    <n v="8050"/>
    <s v="Aida GmbH"/>
    <n v="111"/>
    <x v="15"/>
    <n v="60"/>
    <n v="1410"/>
  </r>
  <r>
    <x v="2"/>
    <x v="2"/>
    <x v="1"/>
    <n v="48101"/>
    <x v="17"/>
    <n v="8060"/>
    <s v="Liebher"/>
    <n v="109"/>
    <x v="13"/>
    <n v="60"/>
    <n v="1970"/>
  </r>
  <r>
    <x v="2"/>
    <x v="2"/>
    <x v="1"/>
    <n v="48101"/>
    <x v="18"/>
    <n v="8060"/>
    <s v="Liebher"/>
    <n v="110"/>
    <x v="14"/>
    <n v="50"/>
    <n v="3520"/>
  </r>
  <r>
    <x v="2"/>
    <x v="2"/>
    <x v="1"/>
    <n v="45427"/>
    <x v="19"/>
    <n v="8050"/>
    <s v="Aida GmbH"/>
    <n v="108"/>
    <x v="7"/>
    <n v="70"/>
    <n v="2300"/>
  </r>
  <r>
    <x v="2"/>
    <x v="2"/>
    <x v="1"/>
    <n v="45427"/>
    <x v="20"/>
    <n v="8050"/>
    <s v="Aida GmbH"/>
    <n v="109"/>
    <x v="13"/>
    <n v="60"/>
    <n v="1970"/>
  </r>
  <r>
    <x v="2"/>
    <x v="2"/>
    <x v="1"/>
    <n v="45429"/>
    <x v="21"/>
    <n v="8060"/>
    <s v="Liebher"/>
    <n v="108"/>
    <x v="7"/>
    <n v="80"/>
    <n v="2630"/>
  </r>
  <r>
    <x v="2"/>
    <x v="2"/>
    <x v="1"/>
    <n v="45429"/>
    <x v="22"/>
    <n v="8060"/>
    <s v="Liebher"/>
    <n v="109"/>
    <x v="13"/>
    <n v="80"/>
    <n v="2630"/>
  </r>
  <r>
    <x v="2"/>
    <x v="2"/>
    <x v="1"/>
    <n v="45429"/>
    <x v="26"/>
    <n v="8060"/>
    <s v="Liebher"/>
    <n v="110"/>
    <x v="14"/>
    <n v="50"/>
    <n v="3520"/>
  </r>
  <r>
    <x v="2"/>
    <x v="2"/>
    <x v="1"/>
    <n v="45431"/>
    <x v="23"/>
    <n v="8050"/>
    <s v="Aida GmbH"/>
    <n v="111"/>
    <x v="15"/>
    <n v="60"/>
    <n v="1410"/>
  </r>
  <r>
    <x v="2"/>
    <x v="2"/>
    <x v="1"/>
    <n v="45431"/>
    <x v="27"/>
    <n v="8050"/>
    <s v="Aida GmbH"/>
    <n v="108"/>
    <x v="7"/>
    <n v="60"/>
    <n v="197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5">
  <r>
    <s v="1010US"/>
    <x v="0"/>
    <x v="0"/>
    <x v="0"/>
    <x v="0"/>
    <n v="8010"/>
    <x v="0"/>
    <n v="103"/>
    <x v="0"/>
    <n v="120"/>
    <n v="1440"/>
    <x v="0"/>
  </r>
  <r>
    <s v="1010US"/>
    <x v="0"/>
    <x v="0"/>
    <x v="0"/>
    <x v="1"/>
    <n v="8010"/>
    <x v="0"/>
    <n v="104"/>
    <x v="1"/>
    <n v="150"/>
    <n v="1800"/>
    <x v="0"/>
  </r>
  <r>
    <s v="1010US"/>
    <x v="0"/>
    <x v="0"/>
    <x v="1"/>
    <x v="0"/>
    <n v="8010"/>
    <x v="0"/>
    <n v="103"/>
    <x v="0"/>
    <n v="170"/>
    <n v="2040"/>
    <x v="0"/>
  </r>
  <r>
    <s v="1010US"/>
    <x v="0"/>
    <x v="0"/>
    <x v="1"/>
    <x v="1"/>
    <n v="8010"/>
    <x v="0"/>
    <n v="104"/>
    <x v="1"/>
    <n v="140"/>
    <n v="1680"/>
    <x v="0"/>
  </r>
  <r>
    <s v="1010US"/>
    <x v="0"/>
    <x v="0"/>
    <x v="2"/>
    <x v="0"/>
    <n v="8020"/>
    <x v="1"/>
    <n v="103"/>
    <x v="0"/>
    <n v="140"/>
    <n v="1680"/>
    <x v="0"/>
  </r>
  <r>
    <s v="1010US"/>
    <x v="0"/>
    <x v="0"/>
    <x v="2"/>
    <x v="1"/>
    <n v="8020"/>
    <x v="1"/>
    <n v="104"/>
    <x v="1"/>
    <n v="150"/>
    <n v="1800"/>
    <x v="0"/>
  </r>
  <r>
    <s v="1010US"/>
    <x v="0"/>
    <x v="0"/>
    <x v="2"/>
    <x v="2"/>
    <n v="8020"/>
    <x v="1"/>
    <n v="105"/>
    <x v="2"/>
    <n v="100"/>
    <n v="1000"/>
    <x v="0"/>
  </r>
  <r>
    <s v="1010US"/>
    <x v="0"/>
    <x v="0"/>
    <x v="3"/>
    <x v="3"/>
    <n v="8010"/>
    <x v="0"/>
    <n v="104"/>
    <x v="1"/>
    <n v="180"/>
    <n v="2160"/>
    <x v="0"/>
  </r>
  <r>
    <s v="1010US"/>
    <x v="0"/>
    <x v="0"/>
    <x v="3"/>
    <x v="4"/>
    <n v="8010"/>
    <x v="0"/>
    <n v="105"/>
    <x v="2"/>
    <n v="120"/>
    <n v="1200"/>
    <x v="0"/>
  </r>
  <r>
    <s v="1010US"/>
    <x v="0"/>
    <x v="0"/>
    <x v="4"/>
    <x v="5"/>
    <n v="8020"/>
    <x v="1"/>
    <n v="104"/>
    <x v="1"/>
    <n v="150"/>
    <n v="1800"/>
    <x v="0"/>
  </r>
  <r>
    <s v="1010US"/>
    <x v="0"/>
    <x v="0"/>
    <x v="4"/>
    <x v="6"/>
    <n v="8020"/>
    <x v="1"/>
    <n v="105"/>
    <x v="2"/>
    <n v="190"/>
    <n v="1900"/>
    <x v="0"/>
  </r>
  <r>
    <s v="1010US"/>
    <x v="0"/>
    <x v="0"/>
    <x v="4"/>
    <x v="7"/>
    <n v="8020"/>
    <x v="1"/>
    <n v="107"/>
    <x v="3"/>
    <n v="160"/>
    <n v="800"/>
    <x v="0"/>
  </r>
  <r>
    <s v="1010US"/>
    <x v="0"/>
    <x v="0"/>
    <x v="4"/>
    <x v="8"/>
    <n v="8010"/>
    <x v="0"/>
    <n v="104"/>
    <x v="1"/>
    <n v="160"/>
    <n v="1920"/>
    <x v="0"/>
  </r>
  <r>
    <s v="1010US"/>
    <x v="0"/>
    <x v="0"/>
    <x v="4"/>
    <x v="9"/>
    <n v="8010"/>
    <x v="0"/>
    <n v="105"/>
    <x v="2"/>
    <n v="190"/>
    <n v="1900"/>
    <x v="0"/>
  </r>
  <r>
    <s v="1010US"/>
    <x v="0"/>
    <x v="0"/>
    <x v="5"/>
    <x v="10"/>
    <n v="8020"/>
    <x v="1"/>
    <n v="103"/>
    <x v="0"/>
    <n v="120"/>
    <n v="1440"/>
    <x v="0"/>
  </r>
  <r>
    <s v="1010US"/>
    <x v="0"/>
    <x v="0"/>
    <x v="5"/>
    <x v="11"/>
    <n v="8020"/>
    <x v="1"/>
    <n v="104"/>
    <x v="1"/>
    <n v="110"/>
    <n v="1320"/>
    <x v="0"/>
  </r>
  <r>
    <s v="1010US"/>
    <x v="0"/>
    <x v="0"/>
    <x v="6"/>
    <x v="1"/>
    <n v="8010"/>
    <x v="0"/>
    <n v="103"/>
    <x v="0"/>
    <n v="120"/>
    <n v="1440"/>
    <x v="0"/>
  </r>
  <r>
    <s v="1010US"/>
    <x v="0"/>
    <x v="0"/>
    <x v="6"/>
    <x v="12"/>
    <n v="8010"/>
    <x v="0"/>
    <n v="104"/>
    <x v="1"/>
    <n v="140"/>
    <n v="1680"/>
    <x v="0"/>
  </r>
  <r>
    <s v="1010US"/>
    <x v="0"/>
    <x v="0"/>
    <x v="6"/>
    <x v="13"/>
    <n v="8010"/>
    <x v="0"/>
    <n v="105"/>
    <x v="2"/>
    <n v="160"/>
    <n v="1600"/>
    <x v="0"/>
  </r>
  <r>
    <s v="1010US"/>
    <x v="0"/>
    <x v="0"/>
    <x v="6"/>
    <x v="14"/>
    <n v="8020"/>
    <x v="1"/>
    <n v="107"/>
    <x v="3"/>
    <n v="120"/>
    <n v="600"/>
    <x v="0"/>
  </r>
  <r>
    <s v="1010US"/>
    <x v="0"/>
    <x v="0"/>
    <x v="6"/>
    <x v="15"/>
    <n v="8020"/>
    <x v="1"/>
    <n v="103"/>
    <x v="0"/>
    <n v="200"/>
    <n v="2400"/>
    <x v="0"/>
  </r>
  <r>
    <s v="1010US"/>
    <x v="0"/>
    <x v="0"/>
    <x v="7"/>
    <x v="5"/>
    <n v="8010"/>
    <x v="0"/>
    <n v="103"/>
    <x v="0"/>
    <n v="140"/>
    <n v="1680"/>
    <x v="0"/>
  </r>
  <r>
    <s v="1010US"/>
    <x v="0"/>
    <x v="0"/>
    <x v="7"/>
    <x v="6"/>
    <n v="8010"/>
    <x v="0"/>
    <n v="104"/>
    <x v="1"/>
    <n v="140"/>
    <n v="1680"/>
    <x v="0"/>
  </r>
  <r>
    <s v="1010US"/>
    <x v="0"/>
    <x v="0"/>
    <x v="8"/>
    <x v="7"/>
    <n v="8010"/>
    <x v="0"/>
    <n v="103"/>
    <x v="0"/>
    <n v="140"/>
    <n v="1680"/>
    <x v="0"/>
  </r>
  <r>
    <s v="1010US"/>
    <x v="0"/>
    <x v="0"/>
    <x v="8"/>
    <x v="8"/>
    <n v="8010"/>
    <x v="0"/>
    <n v="104"/>
    <x v="1"/>
    <n v="140"/>
    <n v="1680"/>
    <x v="0"/>
  </r>
  <r>
    <s v="1010US"/>
    <x v="0"/>
    <x v="0"/>
    <x v="9"/>
    <x v="9"/>
    <n v="8020"/>
    <x v="1"/>
    <n v="103"/>
    <x v="0"/>
    <n v="120"/>
    <n v="1440"/>
    <x v="0"/>
  </r>
  <r>
    <s v="1010US"/>
    <x v="0"/>
    <x v="0"/>
    <x v="9"/>
    <x v="10"/>
    <n v="8020"/>
    <x v="1"/>
    <n v="104"/>
    <x v="1"/>
    <n v="130"/>
    <n v="1560"/>
    <x v="0"/>
  </r>
  <r>
    <s v="1010US"/>
    <x v="0"/>
    <x v="0"/>
    <x v="9"/>
    <x v="11"/>
    <n v="8020"/>
    <x v="1"/>
    <n v="105"/>
    <x v="2"/>
    <n v="120"/>
    <n v="1200"/>
    <x v="0"/>
  </r>
  <r>
    <s v="1010US"/>
    <x v="0"/>
    <x v="0"/>
    <x v="10"/>
    <x v="16"/>
    <n v="8010"/>
    <x v="0"/>
    <n v="104"/>
    <x v="1"/>
    <n v="140"/>
    <n v="1680"/>
    <x v="0"/>
  </r>
  <r>
    <s v="1010US"/>
    <x v="0"/>
    <x v="0"/>
    <x v="10"/>
    <x v="17"/>
    <n v="8010"/>
    <x v="0"/>
    <n v="105"/>
    <x v="2"/>
    <n v="130"/>
    <n v="1300"/>
    <x v="0"/>
  </r>
  <r>
    <s v="1010US"/>
    <x v="0"/>
    <x v="0"/>
    <x v="11"/>
    <x v="18"/>
    <n v="8020"/>
    <x v="1"/>
    <n v="104"/>
    <x v="1"/>
    <n v="120"/>
    <n v="1440"/>
    <x v="0"/>
  </r>
  <r>
    <s v="1010US"/>
    <x v="0"/>
    <x v="0"/>
    <x v="11"/>
    <x v="19"/>
    <n v="8020"/>
    <x v="1"/>
    <n v="105"/>
    <x v="2"/>
    <n v="140"/>
    <n v="1400"/>
    <x v="0"/>
  </r>
  <r>
    <s v="1010US"/>
    <x v="0"/>
    <x v="0"/>
    <x v="11"/>
    <x v="20"/>
    <n v="8020"/>
    <x v="1"/>
    <n v="107"/>
    <x v="3"/>
    <n v="170"/>
    <n v="850"/>
    <x v="0"/>
  </r>
  <r>
    <s v="1010US"/>
    <x v="0"/>
    <x v="0"/>
    <x v="12"/>
    <x v="10"/>
    <n v="8010"/>
    <x v="0"/>
    <n v="104"/>
    <x v="1"/>
    <n v="190"/>
    <n v="2280"/>
    <x v="0"/>
  </r>
  <r>
    <s v="1010US"/>
    <x v="0"/>
    <x v="0"/>
    <x v="12"/>
    <x v="11"/>
    <n v="8010"/>
    <x v="0"/>
    <n v="105"/>
    <x v="2"/>
    <n v="140"/>
    <n v="1400"/>
    <x v="0"/>
  </r>
  <r>
    <s v="1010US"/>
    <x v="0"/>
    <x v="0"/>
    <x v="13"/>
    <x v="16"/>
    <n v="8020"/>
    <x v="1"/>
    <n v="103"/>
    <x v="0"/>
    <n v="140"/>
    <n v="1680"/>
    <x v="0"/>
  </r>
  <r>
    <s v="1010US"/>
    <x v="0"/>
    <x v="0"/>
    <x v="13"/>
    <x v="17"/>
    <n v="8020"/>
    <x v="1"/>
    <n v="104"/>
    <x v="1"/>
    <n v="160"/>
    <n v="1920"/>
    <x v="0"/>
  </r>
  <r>
    <s v="1010US"/>
    <x v="0"/>
    <x v="0"/>
    <x v="14"/>
    <x v="18"/>
    <n v="8010"/>
    <x v="0"/>
    <n v="103"/>
    <x v="0"/>
    <n v="190"/>
    <n v="2280"/>
    <x v="0"/>
  </r>
  <r>
    <s v="1010US"/>
    <x v="0"/>
    <x v="0"/>
    <x v="14"/>
    <x v="19"/>
    <n v="8010"/>
    <x v="0"/>
    <n v="104"/>
    <x v="1"/>
    <n v="130"/>
    <n v="1560"/>
    <x v="0"/>
  </r>
  <r>
    <s v="1010US"/>
    <x v="0"/>
    <x v="0"/>
    <x v="14"/>
    <x v="20"/>
    <n v="8010"/>
    <x v="0"/>
    <n v="105"/>
    <x v="2"/>
    <n v="140"/>
    <n v="1400"/>
    <x v="0"/>
  </r>
  <r>
    <s v="1010US"/>
    <x v="0"/>
    <x v="0"/>
    <x v="15"/>
    <x v="21"/>
    <n v="8020"/>
    <x v="1"/>
    <n v="107"/>
    <x v="3"/>
    <n v="190"/>
    <n v="950"/>
    <x v="0"/>
  </r>
  <r>
    <s v="1010US"/>
    <x v="0"/>
    <x v="0"/>
    <x v="15"/>
    <x v="22"/>
    <n v="8020"/>
    <x v="1"/>
    <n v="103"/>
    <x v="0"/>
    <n v="120"/>
    <n v="1440"/>
    <x v="0"/>
  </r>
  <r>
    <s v="1020US"/>
    <x v="1"/>
    <x v="0"/>
    <x v="16"/>
    <x v="0"/>
    <n v="8020"/>
    <x v="1"/>
    <n v="101"/>
    <x v="4"/>
    <n v="130"/>
    <n v="1560"/>
    <x v="1"/>
  </r>
  <r>
    <s v="1020US"/>
    <x v="1"/>
    <x v="0"/>
    <x v="16"/>
    <x v="1"/>
    <n v="8020"/>
    <x v="1"/>
    <n v="102"/>
    <x v="5"/>
    <n v="30"/>
    <n v="360"/>
    <x v="1"/>
  </r>
  <r>
    <s v="1020US"/>
    <x v="1"/>
    <x v="0"/>
    <x v="16"/>
    <x v="12"/>
    <n v="8020"/>
    <x v="1"/>
    <n v="106"/>
    <x v="6"/>
    <n v="60"/>
    <n v="300"/>
    <x v="1"/>
  </r>
  <r>
    <s v="1020US"/>
    <x v="1"/>
    <x v="0"/>
    <x v="16"/>
    <x v="13"/>
    <n v="8020"/>
    <x v="1"/>
    <n v="108"/>
    <x v="7"/>
    <n v="80"/>
    <n v="2240"/>
    <x v="2"/>
  </r>
  <r>
    <s v="1020US"/>
    <x v="1"/>
    <x v="0"/>
    <x v="17"/>
    <x v="14"/>
    <n v="8020"/>
    <x v="1"/>
    <n v="101"/>
    <x v="4"/>
    <n v="100"/>
    <n v="1200"/>
    <x v="1"/>
  </r>
  <r>
    <s v="1020US"/>
    <x v="1"/>
    <x v="0"/>
    <x v="17"/>
    <x v="15"/>
    <n v="8020"/>
    <x v="1"/>
    <n v="108"/>
    <x v="7"/>
    <n v="20"/>
    <n v="560"/>
    <x v="2"/>
  </r>
  <r>
    <s v="1020US"/>
    <x v="1"/>
    <x v="0"/>
    <x v="17"/>
    <x v="2"/>
    <n v="8020"/>
    <x v="1"/>
    <n v="113"/>
    <x v="8"/>
    <n v="100"/>
    <n v="2500"/>
    <x v="1"/>
  </r>
  <r>
    <s v="1020US"/>
    <x v="1"/>
    <x v="0"/>
    <x v="18"/>
    <x v="3"/>
    <n v="8020"/>
    <x v="1"/>
    <n v="114"/>
    <x v="9"/>
    <n v="50"/>
    <n v="1250"/>
    <x v="1"/>
  </r>
  <r>
    <s v="1020US"/>
    <x v="1"/>
    <x v="0"/>
    <x v="18"/>
    <x v="4"/>
    <n v="8020"/>
    <x v="1"/>
    <n v="101"/>
    <x v="4"/>
    <n v="40"/>
    <n v="480"/>
    <x v="1"/>
  </r>
  <r>
    <s v="1020US"/>
    <x v="1"/>
    <x v="0"/>
    <x v="18"/>
    <x v="5"/>
    <n v="8020"/>
    <x v="1"/>
    <n v="102"/>
    <x v="5"/>
    <n v="70"/>
    <n v="840"/>
    <x v="1"/>
  </r>
  <r>
    <s v="1020US"/>
    <x v="1"/>
    <x v="0"/>
    <x v="18"/>
    <x v="6"/>
    <n v="8020"/>
    <x v="1"/>
    <n v="106"/>
    <x v="6"/>
    <n v="70"/>
    <n v="350"/>
    <x v="1"/>
  </r>
  <r>
    <s v="1020US"/>
    <x v="1"/>
    <x v="0"/>
    <x v="18"/>
    <x v="7"/>
    <n v="8020"/>
    <x v="1"/>
    <n v="108"/>
    <x v="7"/>
    <n v="10"/>
    <n v="280"/>
    <x v="2"/>
  </r>
  <r>
    <s v="1020US"/>
    <x v="1"/>
    <x v="0"/>
    <x v="18"/>
    <x v="8"/>
    <n v="8020"/>
    <x v="1"/>
    <n v="117"/>
    <x v="10"/>
    <n v="80"/>
    <n v="1440"/>
    <x v="1"/>
  </r>
  <r>
    <s v="1020US"/>
    <x v="1"/>
    <x v="0"/>
    <x v="18"/>
    <x v="9"/>
    <n v="8020"/>
    <x v="1"/>
    <n v="118"/>
    <x v="11"/>
    <n v="70"/>
    <n v="1260"/>
    <x v="1"/>
  </r>
  <r>
    <s v="1020US"/>
    <x v="1"/>
    <x v="0"/>
    <x v="19"/>
    <x v="10"/>
    <n v="8010"/>
    <x v="0"/>
    <n v="118"/>
    <x v="11"/>
    <n v="70"/>
    <n v="1260"/>
    <x v="1"/>
  </r>
  <r>
    <s v="1020US"/>
    <x v="1"/>
    <x v="0"/>
    <x v="19"/>
    <x v="11"/>
    <n v="8010"/>
    <x v="0"/>
    <n v="117"/>
    <x v="10"/>
    <n v="80"/>
    <n v="1440"/>
    <x v="1"/>
  </r>
  <r>
    <s v="1020US"/>
    <x v="1"/>
    <x v="0"/>
    <x v="19"/>
    <x v="16"/>
    <n v="8010"/>
    <x v="0"/>
    <n v="118"/>
    <x v="11"/>
    <n v="70"/>
    <n v="1260"/>
    <x v="1"/>
  </r>
  <r>
    <s v="1020US"/>
    <x v="1"/>
    <x v="0"/>
    <x v="19"/>
    <x v="17"/>
    <n v="8010"/>
    <x v="0"/>
    <n v="116"/>
    <x v="12"/>
    <n v="60"/>
    <n v="360"/>
    <x v="3"/>
  </r>
  <r>
    <s v="1020US"/>
    <x v="1"/>
    <x v="0"/>
    <x v="19"/>
    <x v="18"/>
    <n v="8010"/>
    <x v="0"/>
    <n v="106"/>
    <x v="6"/>
    <n v="20"/>
    <n v="100"/>
    <x v="1"/>
  </r>
  <r>
    <s v="1020US"/>
    <x v="1"/>
    <x v="0"/>
    <x v="19"/>
    <x v="19"/>
    <n v="8010"/>
    <x v="0"/>
    <n v="101"/>
    <x v="4"/>
    <n v="40"/>
    <n v="480"/>
    <x v="1"/>
  </r>
  <r>
    <s v="1020US"/>
    <x v="1"/>
    <x v="0"/>
    <x v="19"/>
    <x v="20"/>
    <n v="8010"/>
    <x v="0"/>
    <n v="102"/>
    <x v="5"/>
    <n v="10"/>
    <n v="120"/>
    <x v="1"/>
  </r>
  <r>
    <s v="1040DE"/>
    <x v="2"/>
    <x v="1"/>
    <x v="20"/>
    <x v="0"/>
    <n v="8060"/>
    <x v="2"/>
    <n v="108"/>
    <x v="7"/>
    <n v="60"/>
    <n v="1970"/>
    <x v="2"/>
  </r>
  <r>
    <s v="1040DE"/>
    <x v="2"/>
    <x v="1"/>
    <x v="20"/>
    <x v="1"/>
    <n v="8060"/>
    <x v="2"/>
    <n v="109"/>
    <x v="13"/>
    <n v="60"/>
    <n v="1970"/>
    <x v="2"/>
  </r>
  <r>
    <s v="1040DE"/>
    <x v="2"/>
    <x v="1"/>
    <x v="21"/>
    <x v="0"/>
    <n v="8060"/>
    <x v="2"/>
    <n v="108"/>
    <x v="7"/>
    <n v="60"/>
    <n v="1970"/>
    <x v="2"/>
  </r>
  <r>
    <s v="1040DE"/>
    <x v="2"/>
    <x v="1"/>
    <x v="21"/>
    <x v="1"/>
    <n v="8060"/>
    <x v="2"/>
    <n v="109"/>
    <x v="13"/>
    <n v="70"/>
    <n v="2300"/>
    <x v="2"/>
  </r>
  <r>
    <s v="1040DE"/>
    <x v="2"/>
    <x v="1"/>
    <x v="22"/>
    <x v="0"/>
    <n v="8050"/>
    <x v="3"/>
    <n v="108"/>
    <x v="7"/>
    <n v="60"/>
    <n v="1970"/>
    <x v="2"/>
  </r>
  <r>
    <s v="1040DE"/>
    <x v="2"/>
    <x v="1"/>
    <x v="22"/>
    <x v="1"/>
    <n v="8050"/>
    <x v="3"/>
    <n v="109"/>
    <x v="13"/>
    <n v="50"/>
    <n v="1640"/>
    <x v="2"/>
  </r>
  <r>
    <s v="1040DE"/>
    <x v="2"/>
    <x v="1"/>
    <x v="22"/>
    <x v="2"/>
    <n v="8050"/>
    <x v="3"/>
    <n v="110"/>
    <x v="14"/>
    <n v="60"/>
    <n v="4230"/>
    <x v="4"/>
  </r>
  <r>
    <s v="1040DE"/>
    <x v="2"/>
    <x v="1"/>
    <x v="23"/>
    <x v="3"/>
    <n v="8060"/>
    <x v="2"/>
    <n v="109"/>
    <x v="13"/>
    <n v="60"/>
    <n v="1970"/>
    <x v="2"/>
  </r>
  <r>
    <s v="1040DE"/>
    <x v="2"/>
    <x v="1"/>
    <x v="23"/>
    <x v="4"/>
    <n v="8060"/>
    <x v="2"/>
    <n v="110"/>
    <x v="14"/>
    <n v="50"/>
    <n v="3520"/>
    <x v="4"/>
  </r>
  <r>
    <s v="1040DE"/>
    <x v="2"/>
    <x v="1"/>
    <x v="24"/>
    <x v="3"/>
    <n v="8050"/>
    <x v="3"/>
    <n v="109"/>
    <x v="13"/>
    <n v="60"/>
    <n v="1970"/>
    <x v="2"/>
  </r>
  <r>
    <s v="1040DE"/>
    <x v="2"/>
    <x v="1"/>
    <x v="24"/>
    <x v="4"/>
    <n v="8050"/>
    <x v="3"/>
    <n v="110"/>
    <x v="14"/>
    <n v="60"/>
    <n v="4230"/>
    <x v="4"/>
  </r>
  <r>
    <s v="1040DE"/>
    <x v="2"/>
    <x v="1"/>
    <x v="24"/>
    <x v="7"/>
    <n v="8050"/>
    <x v="3"/>
    <n v="111"/>
    <x v="15"/>
    <n v="80"/>
    <n v="1880"/>
    <x v="4"/>
  </r>
  <r>
    <s v="1040DE"/>
    <x v="2"/>
    <x v="1"/>
    <x v="25"/>
    <x v="3"/>
    <n v="8060"/>
    <x v="2"/>
    <n v="109"/>
    <x v="13"/>
    <n v="60"/>
    <n v="1970"/>
    <x v="2"/>
  </r>
  <r>
    <s v="1040DE"/>
    <x v="2"/>
    <x v="1"/>
    <x v="25"/>
    <x v="4"/>
    <n v="8060"/>
    <x v="2"/>
    <n v="110"/>
    <x v="14"/>
    <n v="60"/>
    <n v="4230"/>
    <x v="4"/>
  </r>
  <r>
    <s v="1040DE"/>
    <x v="2"/>
    <x v="1"/>
    <x v="26"/>
    <x v="10"/>
    <n v="8050"/>
    <x v="3"/>
    <n v="108"/>
    <x v="7"/>
    <n v="50"/>
    <n v="1640"/>
    <x v="2"/>
  </r>
  <r>
    <s v="1040DE"/>
    <x v="2"/>
    <x v="1"/>
    <x v="26"/>
    <x v="11"/>
    <n v="8050"/>
    <x v="3"/>
    <n v="109"/>
    <x v="13"/>
    <n v="60"/>
    <n v="1970"/>
    <x v="2"/>
  </r>
  <r>
    <s v="1040DE"/>
    <x v="2"/>
    <x v="1"/>
    <x v="27"/>
    <x v="10"/>
    <n v="8060"/>
    <x v="2"/>
    <n v="108"/>
    <x v="7"/>
    <n v="60"/>
    <n v="1970"/>
    <x v="2"/>
  </r>
  <r>
    <s v="1040DE"/>
    <x v="2"/>
    <x v="1"/>
    <x v="27"/>
    <x v="11"/>
    <n v="8060"/>
    <x v="2"/>
    <n v="109"/>
    <x v="13"/>
    <n v="70"/>
    <n v="2300"/>
    <x v="2"/>
  </r>
  <r>
    <s v="1040DE"/>
    <x v="2"/>
    <x v="1"/>
    <x v="27"/>
    <x v="18"/>
    <n v="8060"/>
    <x v="2"/>
    <n v="110"/>
    <x v="14"/>
    <n v="60"/>
    <n v="4230"/>
    <x v="4"/>
  </r>
  <r>
    <s v="1040DE"/>
    <x v="2"/>
    <x v="1"/>
    <x v="28"/>
    <x v="10"/>
    <n v="8050"/>
    <x v="3"/>
    <n v="111"/>
    <x v="15"/>
    <n v="80"/>
    <n v="1880"/>
    <x v="4"/>
  </r>
  <r>
    <s v="1040DE"/>
    <x v="2"/>
    <x v="1"/>
    <x v="28"/>
    <x v="11"/>
    <n v="8050"/>
    <x v="3"/>
    <n v="108"/>
    <x v="7"/>
    <n v="50"/>
    <n v="1640"/>
    <x v="2"/>
  </r>
  <r>
    <s v="1040DE"/>
    <x v="2"/>
    <x v="1"/>
    <x v="29"/>
    <x v="17"/>
    <n v="8060"/>
    <x v="2"/>
    <n v="108"/>
    <x v="7"/>
    <n v="60"/>
    <n v="1970"/>
    <x v="2"/>
  </r>
  <r>
    <s v="1040DE"/>
    <x v="2"/>
    <x v="1"/>
    <x v="29"/>
    <x v="22"/>
    <n v="8060"/>
    <x v="2"/>
    <n v="109"/>
    <x v="13"/>
    <n v="70"/>
    <n v="2300"/>
    <x v="2"/>
  </r>
  <r>
    <s v="1040DE"/>
    <x v="2"/>
    <x v="1"/>
    <x v="30"/>
    <x v="11"/>
    <n v="8060"/>
    <x v="2"/>
    <n v="108"/>
    <x v="7"/>
    <n v="70"/>
    <n v="2300"/>
    <x v="2"/>
  </r>
  <r>
    <s v="1040DE"/>
    <x v="2"/>
    <x v="1"/>
    <x v="30"/>
    <x v="23"/>
    <n v="8060"/>
    <x v="2"/>
    <n v="109"/>
    <x v="13"/>
    <n v="70"/>
    <n v="2300"/>
    <x v="2"/>
  </r>
  <r>
    <s v="1040DE"/>
    <x v="2"/>
    <x v="1"/>
    <x v="31"/>
    <x v="11"/>
    <n v="8050"/>
    <x v="3"/>
    <n v="108"/>
    <x v="7"/>
    <n v="70"/>
    <n v="2300"/>
    <x v="2"/>
  </r>
  <r>
    <s v="1040DE"/>
    <x v="2"/>
    <x v="1"/>
    <x v="31"/>
    <x v="17"/>
    <n v="8050"/>
    <x v="3"/>
    <n v="109"/>
    <x v="13"/>
    <n v="60"/>
    <n v="1970"/>
    <x v="2"/>
  </r>
  <r>
    <s v="1040DE"/>
    <x v="2"/>
    <x v="1"/>
    <x v="31"/>
    <x v="22"/>
    <n v="8050"/>
    <x v="3"/>
    <n v="110"/>
    <x v="14"/>
    <n v="50"/>
    <n v="3520"/>
    <x v="4"/>
  </r>
  <r>
    <s v="1040DE"/>
    <x v="2"/>
    <x v="1"/>
    <x v="32"/>
    <x v="24"/>
    <n v="8060"/>
    <x v="2"/>
    <n v="109"/>
    <x v="13"/>
    <n v="60"/>
    <n v="1970"/>
    <x v="2"/>
  </r>
  <r>
    <s v="1040DE"/>
    <x v="2"/>
    <x v="1"/>
    <x v="32"/>
    <x v="25"/>
    <n v="8060"/>
    <x v="2"/>
    <n v="110"/>
    <x v="14"/>
    <n v="70"/>
    <n v="4930"/>
    <x v="4"/>
  </r>
  <r>
    <s v="1040DE"/>
    <x v="2"/>
    <x v="1"/>
    <x v="33"/>
    <x v="10"/>
    <n v="8050"/>
    <x v="3"/>
    <n v="109"/>
    <x v="13"/>
    <n v="60"/>
    <n v="1970"/>
    <x v="2"/>
  </r>
  <r>
    <s v="1040DE"/>
    <x v="2"/>
    <x v="1"/>
    <x v="33"/>
    <x v="11"/>
    <n v="8050"/>
    <x v="3"/>
    <n v="110"/>
    <x v="14"/>
    <n v="60"/>
    <n v="4230"/>
    <x v="4"/>
  </r>
  <r>
    <s v="1040DE"/>
    <x v="2"/>
    <x v="1"/>
    <x v="33"/>
    <x v="16"/>
    <n v="8050"/>
    <x v="3"/>
    <n v="111"/>
    <x v="15"/>
    <n v="60"/>
    <n v="1410"/>
    <x v="4"/>
  </r>
  <r>
    <s v="1040DE"/>
    <x v="2"/>
    <x v="1"/>
    <x v="34"/>
    <x v="17"/>
    <n v="8060"/>
    <x v="2"/>
    <n v="109"/>
    <x v="13"/>
    <n v="60"/>
    <n v="1970"/>
    <x v="2"/>
  </r>
  <r>
    <s v="1040DE"/>
    <x v="2"/>
    <x v="1"/>
    <x v="34"/>
    <x v="18"/>
    <n v="8060"/>
    <x v="2"/>
    <n v="110"/>
    <x v="14"/>
    <n v="50"/>
    <n v="3520"/>
    <x v="4"/>
  </r>
  <r>
    <s v="1040DE"/>
    <x v="2"/>
    <x v="1"/>
    <x v="35"/>
    <x v="19"/>
    <n v="8050"/>
    <x v="3"/>
    <n v="108"/>
    <x v="7"/>
    <n v="70"/>
    <n v="2300"/>
    <x v="2"/>
  </r>
  <r>
    <s v="1040DE"/>
    <x v="2"/>
    <x v="1"/>
    <x v="35"/>
    <x v="20"/>
    <n v="8050"/>
    <x v="3"/>
    <n v="109"/>
    <x v="13"/>
    <n v="60"/>
    <n v="1970"/>
    <x v="2"/>
  </r>
  <r>
    <s v="1040DE"/>
    <x v="2"/>
    <x v="1"/>
    <x v="36"/>
    <x v="21"/>
    <n v="8060"/>
    <x v="2"/>
    <n v="108"/>
    <x v="7"/>
    <n v="80"/>
    <n v="2630"/>
    <x v="2"/>
  </r>
  <r>
    <s v="1040DE"/>
    <x v="2"/>
    <x v="1"/>
    <x v="36"/>
    <x v="22"/>
    <n v="8060"/>
    <x v="2"/>
    <n v="109"/>
    <x v="13"/>
    <n v="80"/>
    <n v="2630"/>
    <x v="2"/>
  </r>
  <r>
    <s v="1040DE"/>
    <x v="2"/>
    <x v="1"/>
    <x v="36"/>
    <x v="26"/>
    <n v="8060"/>
    <x v="2"/>
    <n v="110"/>
    <x v="14"/>
    <n v="50"/>
    <n v="3520"/>
    <x v="4"/>
  </r>
  <r>
    <s v="1040DE"/>
    <x v="2"/>
    <x v="1"/>
    <x v="37"/>
    <x v="23"/>
    <n v="8050"/>
    <x v="3"/>
    <n v="111"/>
    <x v="15"/>
    <n v="60"/>
    <n v="1410"/>
    <x v="4"/>
  </r>
  <r>
    <s v="1040DE"/>
    <x v="2"/>
    <x v="1"/>
    <x v="37"/>
    <x v="27"/>
    <n v="8050"/>
    <x v="3"/>
    <n v="108"/>
    <x v="7"/>
    <n v="60"/>
    <n v="1970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23387C-ED91-47BD-8E11-5FA5245915F7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N20:O31" firstHeaderRow="1" firstDataRow="1" firstDataCol="1"/>
  <pivotFields count="11">
    <pivotField showAll="0">
      <items count="4">
        <item x="0"/>
        <item x="1"/>
        <item x="2"/>
        <item t="default"/>
      </items>
    </pivotField>
    <pivotField showAll="0">
      <items count="4">
        <item h="1" x="2"/>
        <item h="1" x="1"/>
        <item x="0"/>
        <item t="default"/>
      </items>
    </pivotField>
    <pivotField showAll="0">
      <items count="3">
        <item x="0"/>
        <item h="1" x="1"/>
        <item t="default"/>
      </items>
    </pivotField>
    <pivotField showAll="0"/>
    <pivotField axis="axisRow" numFmtId="14" showAll="0">
      <items count="29">
        <item x="0"/>
        <item x="1"/>
        <item x="12"/>
        <item x="13"/>
        <item x="14"/>
        <item x="15"/>
        <item x="2"/>
        <item x="3"/>
        <item x="4"/>
        <item x="5"/>
        <item x="6"/>
        <item x="7"/>
        <item x="8"/>
        <item x="9"/>
        <item x="10"/>
        <item x="11"/>
        <item x="16"/>
        <item x="17"/>
        <item x="18"/>
        <item x="19"/>
        <item x="20"/>
        <item x="21"/>
        <item x="22"/>
        <item x="26"/>
        <item x="23"/>
        <item x="27"/>
        <item x="24"/>
        <item x="25"/>
        <item t="default"/>
      </items>
    </pivotField>
    <pivotField showAll="0"/>
    <pivotField showAll="0"/>
    <pivotField showAll="0"/>
    <pivotField axis="axisRow" showAll="0">
      <items count="17">
        <item h="1" x="7"/>
        <item h="1" x="13"/>
        <item h="1" x="6"/>
        <item h="1" x="8"/>
        <item h="1" x="9"/>
        <item h="1" x="11"/>
        <item h="1" x="10"/>
        <item h="1" x="5"/>
        <item h="1" x="4"/>
        <item h="1" x="14"/>
        <item h="1" x="15"/>
        <item h="1" x="12"/>
        <item h="1" x="3"/>
        <item x="2"/>
        <item h="1" x="1"/>
        <item h="1" x="0"/>
        <item t="default"/>
      </items>
    </pivotField>
    <pivotField showAll="0"/>
    <pivotField dataField="1" showAll="0"/>
  </pivotFields>
  <rowFields count="2">
    <field x="8"/>
    <field x="4"/>
  </rowFields>
  <rowItems count="11">
    <i>
      <x v="13"/>
    </i>
    <i r="1">
      <x v="3"/>
    </i>
    <i r="1">
      <x v="6"/>
    </i>
    <i r="1">
      <x v="8"/>
    </i>
    <i r="1">
      <x v="10"/>
    </i>
    <i r="1">
      <x v="13"/>
    </i>
    <i r="1">
      <x v="15"/>
    </i>
    <i r="1">
      <x v="17"/>
    </i>
    <i r="1">
      <x v="19"/>
    </i>
    <i r="1">
      <x v="20"/>
    </i>
    <i t="grand">
      <x/>
    </i>
  </rowItems>
  <colItems count="1">
    <i/>
  </colItems>
  <dataFields count="1">
    <dataField name="Sum of Sales USD" fld="10" baseField="0" baseItem="0"/>
  </dataFields>
  <pivotTableStyleInfo name="PivotStyleLight16" showRowHeaders="1" showColHeaders="1" showRowStripes="0" showColStripes="0" showLastColumn="1"/>
  <filters count="1">
    <filter fld="4" type="M6" evalOrder="-1" id="1">
      <autoFilter ref="A1">
        <filterColumn colId="0">
          <dynamicFilter type="M6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599942-D1D9-44CD-9141-C61003D9F0FA}" name="PivotTable16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255:J269" firstHeaderRow="1" firstDataRow="1" firstDataCol="1" rowPageCount="1" colPageCount="1"/>
  <pivotFields count="14"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numFmtId="164" showAll="0">
      <items count="29">
        <item x="0"/>
        <item x="1"/>
        <item x="12"/>
        <item x="13"/>
        <item x="14"/>
        <item x="15"/>
        <item x="2"/>
        <item x="3"/>
        <item x="4"/>
        <item x="5"/>
        <item x="6"/>
        <item x="7"/>
        <item x="8"/>
        <item x="9"/>
        <item x="10"/>
        <item x="11"/>
        <item x="16"/>
        <item x="17"/>
        <item x="18"/>
        <item x="19"/>
        <item x="20"/>
        <item x="21"/>
        <item x="22"/>
        <item x="26"/>
        <item x="23"/>
        <item x="27"/>
        <item x="24"/>
        <item x="25"/>
        <item t="default"/>
      </items>
    </pivotField>
    <pivotField showAll="0"/>
    <pivotField showAll="0"/>
    <pivotField showAll="0"/>
    <pivotField axis="axisRow" showAll="0">
      <items count="17">
        <item x="7"/>
        <item x="13"/>
        <item x="6"/>
        <item x="8"/>
        <item x="9"/>
        <item x="11"/>
        <item x="10"/>
        <item x="5"/>
        <item x="4"/>
        <item x="14"/>
        <item x="15"/>
        <item x="12"/>
        <item x="3"/>
        <item x="2"/>
        <item x="1"/>
        <item x="0"/>
        <item t="default"/>
      </items>
    </pivotField>
    <pivotField dataField="1" showAll="0"/>
    <pivotField showAll="0"/>
    <pivotField showAll="0"/>
    <pivotField showAll="0" defaultSubtotal="0">
      <items count="3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</items>
    </pivotField>
    <pivotField showAll="0" defaultSubtotal="0">
      <items count="4">
        <item x="0"/>
        <item x="1"/>
        <item x="2"/>
        <item x="3"/>
      </items>
    </pivotField>
  </pivotFields>
  <rowFields count="1">
    <field x="8"/>
  </rowFields>
  <rowItems count="14">
    <i>
      <x/>
    </i>
    <i>
      <x v="2"/>
    </i>
    <i>
      <x v="3"/>
    </i>
    <i>
      <x v="4"/>
    </i>
    <i>
      <x v="5"/>
    </i>
    <i>
      <x v="6"/>
    </i>
    <i>
      <x v="7"/>
    </i>
    <i>
      <x v="8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pageFields count="1">
    <pageField fld="2" item="0" hier="-1"/>
  </pageFields>
  <dataFields count="1">
    <dataField name="Sum of Quantity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FFDA6C-3F24-4D12-93EE-48F72089034E}" name="PivotTable11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227:E266" firstHeaderRow="1" firstDataRow="1" firstDataCol="1"/>
  <pivotFields count="14">
    <pivotField showAll="0"/>
    <pivotField showAll="0"/>
    <pivotField showAll="0"/>
    <pivotField axis="axisRow" showAll="0">
      <items count="39">
        <item x="16"/>
        <item x="17"/>
        <item x="19"/>
        <item x="18"/>
        <item x="29"/>
        <item x="31"/>
        <item x="30"/>
        <item x="20"/>
        <item x="22"/>
        <item x="21"/>
        <item x="35"/>
        <item x="36"/>
        <item x="37"/>
        <item x="26"/>
        <item x="27"/>
        <item x="28"/>
        <item x="32"/>
        <item x="33"/>
        <item x="34"/>
        <item x="23"/>
        <item x="24"/>
        <item x="25"/>
        <item x="13"/>
        <item x="14"/>
        <item x="15"/>
        <item x="5"/>
        <item x="6"/>
        <item x="7"/>
        <item x="9"/>
        <item x="8"/>
        <item x="0"/>
        <item x="2"/>
        <item x="1"/>
        <item x="10"/>
        <item x="11"/>
        <item x="12"/>
        <item x="3"/>
        <item x="4"/>
        <item t="default"/>
      </items>
    </pivotField>
    <pivotField numFmtId="164" showAll="0">
      <items count="29">
        <item x="0"/>
        <item x="1"/>
        <item x="12"/>
        <item x="13"/>
        <item x="14"/>
        <item x="15"/>
        <item x="2"/>
        <item x="3"/>
        <item x="4"/>
        <item x="5"/>
        <item x="6"/>
        <item x="7"/>
        <item x="8"/>
        <item x="9"/>
        <item x="10"/>
        <item x="11"/>
        <item x="16"/>
        <item x="17"/>
        <item x="18"/>
        <item x="19"/>
        <item x="20"/>
        <item x="21"/>
        <item x="22"/>
        <item x="26"/>
        <item x="23"/>
        <item x="27"/>
        <item x="24"/>
        <item x="25"/>
        <item t="default"/>
      </items>
    </pivotField>
    <pivotField showAll="0"/>
    <pivotField showAll="0"/>
    <pivotField showAll="0"/>
    <pivotField showAll="0">
      <items count="17">
        <item x="7"/>
        <item x="13"/>
        <item x="6"/>
        <item x="8"/>
        <item x="9"/>
        <item x="11"/>
        <item x="10"/>
        <item x="5"/>
        <item x="4"/>
        <item x="14"/>
        <item x="15"/>
        <item x="12"/>
        <item x="3"/>
        <item x="2"/>
        <item x="1"/>
        <item x="0"/>
        <item t="default"/>
      </items>
    </pivotField>
    <pivotField showAll="0"/>
    <pivotField showAll="0"/>
    <pivotField showAll="0"/>
    <pivotField showAll="0" defaultSubtotal="0">
      <items count="3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</items>
    </pivotField>
    <pivotField showAll="0">
      <items count="5">
        <item x="3"/>
        <item x="0"/>
        <item x="1"/>
        <item x="2"/>
        <item t="default"/>
      </items>
    </pivotField>
  </pivotFields>
  <rowFields count="1">
    <field x="3"/>
  </rowFields>
  <rowItems count="3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469158-DE92-4A35-831B-48DAB3AFC5E9}" name="PivotTable10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205:F219" firstHeaderRow="1" firstDataRow="1" firstDataCol="1" rowPageCount="1" colPageCount="1"/>
  <pivotFields count="14">
    <pivotField showAll="0"/>
    <pivotField showAll="0"/>
    <pivotField showAll="0"/>
    <pivotField showAll="0"/>
    <pivotField numFmtId="164" showAll="0">
      <items count="29">
        <item x="0"/>
        <item x="1"/>
        <item x="12"/>
        <item x="13"/>
        <item x="14"/>
        <item x="15"/>
        <item x="2"/>
        <item x="3"/>
        <item x="4"/>
        <item x="5"/>
        <item x="6"/>
        <item x="7"/>
        <item x="8"/>
        <item x="9"/>
        <item x="10"/>
        <item x="11"/>
        <item x="16"/>
        <item x="17"/>
        <item x="18"/>
        <item x="19"/>
        <item x="20"/>
        <item x="21"/>
        <item x="22"/>
        <item x="26"/>
        <item x="23"/>
        <item x="27"/>
        <item x="24"/>
        <item x="25"/>
        <item t="default"/>
      </items>
    </pivotField>
    <pivotField showAll="0"/>
    <pivotField axis="axisPage" showAll="0">
      <items count="5">
        <item x="3"/>
        <item x="0"/>
        <item x="1"/>
        <item x="2"/>
        <item t="default"/>
      </items>
    </pivotField>
    <pivotField showAll="0"/>
    <pivotField axis="axisRow" showAll="0">
      <items count="17">
        <item x="7"/>
        <item x="13"/>
        <item x="6"/>
        <item x="8"/>
        <item x="9"/>
        <item x="11"/>
        <item x="10"/>
        <item x="5"/>
        <item x="4"/>
        <item x="14"/>
        <item x="15"/>
        <item x="12"/>
        <item x="3"/>
        <item x="2"/>
        <item x="1"/>
        <item x="0"/>
        <item t="default"/>
      </items>
    </pivotField>
    <pivotField dataField="1" showAll="0"/>
    <pivotField showAll="0"/>
    <pivotField showAll="0"/>
    <pivotField showAll="0" defaultSubtotal="0">
      <items count="3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</items>
    </pivotField>
    <pivotField axis="axisRow" showAll="0">
      <items count="5">
        <item x="3"/>
        <item x="0"/>
        <item x="1"/>
        <item x="2"/>
        <item t="default"/>
      </items>
    </pivotField>
  </pivotFields>
  <rowFields count="2">
    <field x="13"/>
    <field x="8"/>
  </rowFields>
  <rowItems count="14">
    <i>
      <x/>
    </i>
    <i r="1">
      <x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12"/>
    </i>
    <i r="1">
      <x v="13"/>
    </i>
    <i r="1">
      <x v="14"/>
    </i>
    <i r="1">
      <x v="15"/>
    </i>
    <i t="grand">
      <x/>
    </i>
  </rowItems>
  <colItems count="1">
    <i/>
  </colItems>
  <pageFields count="1">
    <pageField fld="6" item="2" hier="-1"/>
  </pageFields>
  <dataFields count="1">
    <dataField name="Sum of Quantity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731E67-5BEF-480C-A075-DE43F3C6AEFF}" name="PivotTable3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166:L245" firstHeaderRow="1" firstDataRow="1" firstDataCol="1"/>
  <pivotFields count="14">
    <pivotField showAll="0"/>
    <pivotField showAll="0"/>
    <pivotField showAll="0"/>
    <pivotField axis="axisRow" showAll="0" sortType="descending">
      <items count="39">
        <item x="16"/>
        <item x="17"/>
        <item x="19"/>
        <item x="18"/>
        <item x="29"/>
        <item x="31"/>
        <item x="30"/>
        <item x="20"/>
        <item x="22"/>
        <item x="21"/>
        <item x="35"/>
        <item x="36"/>
        <item x="37"/>
        <item x="26"/>
        <item x="27"/>
        <item x="28"/>
        <item x="32"/>
        <item x="33"/>
        <item x="34"/>
        <item x="23"/>
        <item x="24"/>
        <item x="25"/>
        <item x="13"/>
        <item x="14"/>
        <item x="15"/>
        <item x="5"/>
        <item x="6"/>
        <item x="7"/>
        <item x="9"/>
        <item x="8"/>
        <item x="0"/>
        <item x="2"/>
        <item x="1"/>
        <item x="10"/>
        <item x="11"/>
        <item x="12"/>
        <item x="3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64" showAll="0">
      <items count="29">
        <item x="0"/>
        <item x="1"/>
        <item x="12"/>
        <item x="13"/>
        <item x="14"/>
        <item x="15"/>
        <item x="2"/>
        <item x="3"/>
        <item x="4"/>
        <item x="5"/>
        <item x="6"/>
        <item x="7"/>
        <item x="8"/>
        <item x="9"/>
        <item x="10"/>
        <item x="11"/>
        <item x="16"/>
        <item x="17"/>
        <item x="18"/>
        <item x="19"/>
        <item x="20"/>
        <item x="21"/>
        <item x="22"/>
        <item x="26"/>
        <item x="23"/>
        <item x="27"/>
        <item x="24"/>
        <item x="25"/>
        <item t="default"/>
      </items>
    </pivotField>
    <pivotField showAll="0"/>
    <pivotField axis="axisRow" showAll="0">
      <items count="5">
        <item x="3"/>
        <item x="0"/>
        <item x="1"/>
        <item x="2"/>
        <item t="default"/>
      </items>
    </pivotField>
    <pivotField showAll="0"/>
    <pivotField showAll="0">
      <items count="17">
        <item x="7"/>
        <item x="13"/>
        <item x="6"/>
        <item x="8"/>
        <item x="9"/>
        <item x="11"/>
        <item x="10"/>
        <item x="5"/>
        <item x="4"/>
        <item x="14"/>
        <item x="15"/>
        <item x="12"/>
        <item x="3"/>
        <item x="2"/>
        <item x="1"/>
        <item x="0"/>
        <item t="default"/>
      </items>
    </pivotField>
    <pivotField showAll="0"/>
    <pivotField dataField="1" showAll="0"/>
    <pivotField showAll="0"/>
    <pivotField showAll="0" defaultSubtotal="0">
      <items count="3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</items>
    </pivotField>
    <pivotField showAll="0">
      <items count="5">
        <item x="3"/>
        <item x="0"/>
        <item x="1"/>
        <item x="2"/>
        <item t="default"/>
      </items>
    </pivotField>
  </pivotFields>
  <rowFields count="2">
    <field x="3"/>
    <field x="6"/>
  </rowFields>
  <rowItems count="79">
    <i>
      <x v="11"/>
    </i>
    <i r="1">
      <x v="3"/>
    </i>
    <i>
      <x v="14"/>
    </i>
    <i r="1">
      <x v="3"/>
    </i>
    <i>
      <x v="37"/>
    </i>
    <i r="1">
      <x v="1"/>
    </i>
    <i r="1">
      <x v="2"/>
    </i>
    <i>
      <x v="20"/>
    </i>
    <i r="1">
      <x/>
    </i>
    <i>
      <x v="8"/>
    </i>
    <i r="1">
      <x/>
    </i>
    <i>
      <x v="5"/>
    </i>
    <i r="1">
      <x/>
    </i>
    <i>
      <x v="26"/>
    </i>
    <i r="1">
      <x v="1"/>
    </i>
    <i r="1">
      <x v="2"/>
    </i>
    <i>
      <x v="17"/>
    </i>
    <i r="1">
      <x/>
    </i>
    <i>
      <x v="16"/>
    </i>
    <i r="1">
      <x v="3"/>
    </i>
    <i>
      <x v="21"/>
    </i>
    <i r="1">
      <x v="3"/>
    </i>
    <i>
      <x v="3"/>
    </i>
    <i r="1">
      <x v="2"/>
    </i>
    <i>
      <x v="19"/>
    </i>
    <i r="1">
      <x v="3"/>
    </i>
    <i>
      <x v="18"/>
    </i>
    <i r="1">
      <x v="3"/>
    </i>
    <i>
      <x v="23"/>
    </i>
    <i r="1">
      <x v="1"/>
    </i>
    <i>
      <x v="2"/>
    </i>
    <i r="1">
      <x v="1"/>
    </i>
    <i>
      <x v="6"/>
    </i>
    <i r="1">
      <x v="3"/>
    </i>
    <i>
      <x v="31"/>
    </i>
    <i r="1">
      <x v="2"/>
    </i>
    <i>
      <x/>
    </i>
    <i r="1">
      <x v="2"/>
    </i>
    <i>
      <x v="4"/>
    </i>
    <i r="1">
      <x v="3"/>
    </i>
    <i>
      <x v="10"/>
    </i>
    <i r="1">
      <x/>
    </i>
    <i>
      <x v="9"/>
    </i>
    <i r="1">
      <x v="3"/>
    </i>
    <i>
      <x v="1"/>
    </i>
    <i r="1">
      <x v="2"/>
    </i>
    <i>
      <x v="28"/>
    </i>
    <i r="1">
      <x v="2"/>
    </i>
    <i>
      <x v="7"/>
    </i>
    <i r="1">
      <x v="3"/>
    </i>
    <i>
      <x v="32"/>
    </i>
    <i r="1">
      <x v="1"/>
    </i>
    <i>
      <x v="34"/>
    </i>
    <i r="1">
      <x v="2"/>
    </i>
    <i>
      <x v="35"/>
    </i>
    <i r="1">
      <x v="1"/>
    </i>
    <i>
      <x v="13"/>
    </i>
    <i r="1">
      <x/>
    </i>
    <i>
      <x v="22"/>
    </i>
    <i r="1">
      <x v="2"/>
    </i>
    <i>
      <x v="15"/>
    </i>
    <i r="1">
      <x/>
    </i>
    <i>
      <x v="12"/>
    </i>
    <i r="1">
      <x/>
    </i>
    <i>
      <x v="27"/>
    </i>
    <i r="1">
      <x v="1"/>
    </i>
    <i>
      <x v="36"/>
    </i>
    <i r="1">
      <x v="1"/>
    </i>
    <i>
      <x v="29"/>
    </i>
    <i r="1">
      <x v="1"/>
    </i>
    <i>
      <x v="30"/>
    </i>
    <i r="1">
      <x v="1"/>
    </i>
    <i>
      <x v="33"/>
    </i>
    <i r="1">
      <x v="1"/>
    </i>
    <i>
      <x v="25"/>
    </i>
    <i r="1">
      <x v="2"/>
    </i>
    <i>
      <x v="24"/>
    </i>
    <i r="1">
      <x v="2"/>
    </i>
    <i t="grand">
      <x/>
    </i>
  </rowItems>
  <colItems count="1">
    <i/>
  </colItems>
  <dataFields count="1">
    <dataField name="Sum of Sales USD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A9A6E8-A7F3-45B8-A97F-4E093A7693E1}" name="PivotTable8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11:K14" firstHeaderRow="1" firstDataRow="1" firstDataCol="1" rowPageCount="2" colPageCount="1"/>
  <pivotFields count="14"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  <pivotField axis="axisPage" numFmtId="164" multipleItemSelectionAllowed="1" showAll="0">
      <items count="29">
        <item x="0"/>
        <item x="1"/>
        <item x="12"/>
        <item x="13"/>
        <item x="14"/>
        <item x="15"/>
        <item x="2"/>
        <item x="3"/>
        <item x="4"/>
        <item x="5"/>
        <item x="6"/>
        <item x="7"/>
        <item x="8"/>
        <item x="9"/>
        <item x="10"/>
        <item x="11"/>
        <item x="16"/>
        <item x="17"/>
        <item x="18"/>
        <item x="19"/>
        <item x="20"/>
        <item x="21"/>
        <item x="22"/>
        <item x="26"/>
        <item x="23"/>
        <item x="27"/>
        <item x="24"/>
        <item x="25"/>
        <item t="default"/>
      </items>
    </pivotField>
    <pivotField showAll="0"/>
    <pivotField axis="axisRow" showAll="0" sortType="descending">
      <items count="5">
        <item x="3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>
      <items count="17">
        <item x="7"/>
        <item x="13"/>
        <item x="6"/>
        <item x="8"/>
        <item x="9"/>
        <item x="11"/>
        <item x="10"/>
        <item x="5"/>
        <item x="4"/>
        <item x="14"/>
        <item x="15"/>
        <item x="12"/>
        <item x="3"/>
        <item x="2"/>
        <item x="1"/>
        <item x="0"/>
        <item t="default"/>
      </items>
    </pivotField>
    <pivotField showAll="0"/>
    <pivotField dataField="1"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5">
        <item x="3"/>
        <item x="0"/>
        <item x="1"/>
        <item x="2"/>
        <item t="default"/>
      </items>
    </pivotField>
  </pivotFields>
  <rowFields count="1">
    <field x="6"/>
  </rowFields>
  <rowItems count="3">
    <i>
      <x v="1"/>
    </i>
    <i>
      <x v="2"/>
    </i>
    <i t="grand">
      <x/>
    </i>
  </rowItems>
  <colItems count="1">
    <i/>
  </colItems>
  <pageFields count="2">
    <pageField fld="1" item="2" hier="-1"/>
    <pageField fld="4" hier="-1"/>
  </pageFields>
  <dataFields count="1">
    <dataField name="Sum of Sales USD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4DDF73-FD86-4571-94D4-D3F5B61EF7A8}" name="PivotTable7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4:J5" firstHeaderRow="1" firstDataRow="1" firstDataCol="0" rowPageCount="1" colPageCount="1"/>
  <pivotFields count="14">
    <pivotField showAll="0"/>
    <pivotField showAll="0"/>
    <pivotField showAll="0"/>
    <pivotField showAll="0"/>
    <pivotField numFmtId="164" showAll="0">
      <items count="29">
        <item x="0"/>
        <item x="1"/>
        <item x="12"/>
        <item x="13"/>
        <item x="14"/>
        <item x="15"/>
        <item x="2"/>
        <item x="3"/>
        <item x="4"/>
        <item x="5"/>
        <item x="6"/>
        <item x="7"/>
        <item x="8"/>
        <item x="9"/>
        <item x="10"/>
        <item x="11"/>
        <item x="16"/>
        <item x="17"/>
        <item x="18"/>
        <item x="19"/>
        <item x="20"/>
        <item x="21"/>
        <item x="22"/>
        <item x="26"/>
        <item x="23"/>
        <item x="27"/>
        <item x="24"/>
        <item x="25"/>
        <item t="default"/>
      </items>
    </pivotField>
    <pivotField showAll="0"/>
    <pivotField showAll="0"/>
    <pivotField showAll="0"/>
    <pivotField axis="axisPage" showAll="0">
      <items count="17">
        <item x="7"/>
        <item x="13"/>
        <item x="6"/>
        <item x="8"/>
        <item x="9"/>
        <item x="11"/>
        <item x="10"/>
        <item x="5"/>
        <item x="4"/>
        <item x="14"/>
        <item x="15"/>
        <item x="12"/>
        <item x="3"/>
        <item x="2"/>
        <item x="1"/>
        <item x="0"/>
        <item t="default"/>
      </items>
    </pivotField>
    <pivotField showAll="0"/>
    <pivotField dataField="1"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5">
        <item x="3"/>
        <item x="0"/>
        <item x="1"/>
        <item x="2"/>
        <item t="default"/>
      </items>
    </pivotField>
  </pivotFields>
  <rowItems count="1">
    <i/>
  </rowItems>
  <colItems count="1">
    <i/>
  </colItems>
  <pageFields count="1">
    <pageField fld="8" hier="-1"/>
  </pageFields>
  <dataFields count="1">
    <dataField name="Sum of Sales USD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F7AB8D-A7D4-4371-B4E7-1020A13636C1}" name="PivotTable9" cacheId="2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J38:K159" firstHeaderRow="1" firstDataRow="1" firstDataCol="1"/>
  <pivotFields count="14">
    <pivotField showAll="0" defaultSubtotal="0"/>
    <pivotField showAll="0" defaultSubtotal="0"/>
    <pivotField showAll="0" defaultSubtotal="0"/>
    <pivotField axis="axisRow" showAll="0" defaultSubtotal="0">
      <items count="38">
        <item x="16"/>
        <item x="17"/>
        <item x="19"/>
        <item x="18"/>
        <item x="29"/>
        <item x="31"/>
        <item x="30"/>
        <item x="20"/>
        <item x="22"/>
        <item x="21"/>
        <item x="35"/>
        <item x="36"/>
        <item x="37"/>
        <item x="26"/>
        <item x="27"/>
        <item x="28"/>
        <item x="32"/>
        <item x="33"/>
        <item x="34"/>
        <item x="23"/>
        <item x="24"/>
        <item x="25"/>
        <item x="13"/>
        <item x="14"/>
        <item x="15"/>
        <item x="5"/>
        <item x="6"/>
        <item x="7"/>
        <item x="9"/>
        <item x="8"/>
        <item x="0"/>
        <item x="2"/>
        <item x="1"/>
        <item x="10"/>
        <item x="11"/>
        <item x="12"/>
        <item x="3"/>
        <item x="4"/>
      </items>
    </pivotField>
    <pivotField numFmtId="164" showAll="0" defaultSubtotal="0">
      <items count="28">
        <item x="0"/>
        <item x="1"/>
        <item x="12"/>
        <item x="13"/>
        <item x="14"/>
        <item x="15"/>
        <item x="2"/>
        <item x="3"/>
        <item x="4"/>
        <item x="5"/>
        <item x="6"/>
        <item x="7"/>
        <item x="8"/>
        <item x="9"/>
        <item x="10"/>
        <item x="11"/>
        <item x="16"/>
        <item x="17"/>
        <item x="18"/>
        <item x="19"/>
        <item x="20"/>
        <item x="21"/>
        <item x="22"/>
        <item x="26"/>
        <item x="23"/>
        <item x="27"/>
        <item x="24"/>
        <item x="25"/>
      </items>
    </pivotField>
    <pivotField showAll="0" defaultSubtotal="0"/>
    <pivotField showAll="0" defaultSubtotal="0"/>
    <pivotField showAll="0" defaultSubtotal="0"/>
    <pivotField axis="axisRow" showAll="0" defaultSubtotal="0">
      <items count="16">
        <item x="7"/>
        <item x="13"/>
        <item x="6"/>
        <item x="8"/>
        <item x="9"/>
        <item x="11"/>
        <item x="10"/>
        <item x="5"/>
        <item x="4"/>
        <item x="14"/>
        <item x="15"/>
        <item x="12"/>
        <item x="3"/>
        <item x="2"/>
        <item x="1"/>
        <item x="0"/>
      </items>
    </pivotField>
    <pivotField showAll="0" defaultSubtotal="0"/>
    <pivotField dataField="1" showAll="0" defaultSubtotal="0"/>
    <pivotField showAll="0" defaultSubtotal="0"/>
    <pivotField subtotalTop="0" showAll="0" defaultSubtotal="0">
      <items count="3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</items>
    </pivotField>
    <pivotField axis="axisRow" subtotalTop="0" showAll="0" defaultSubtotal="0">
      <items count="4">
        <item x="3"/>
        <item x="0"/>
        <item x="1"/>
        <item x="2"/>
      </items>
    </pivotField>
  </pivotFields>
  <rowFields count="3">
    <field x="13"/>
    <field x="8"/>
    <field x="3"/>
  </rowFields>
  <rowItems count="121">
    <i>
      <x/>
    </i>
    <i r="1">
      <x/>
    </i>
    <i r="2">
      <x/>
    </i>
    <i r="2">
      <x v="1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1">
      <x v="2"/>
    </i>
    <i r="2">
      <x/>
    </i>
    <i r="2">
      <x v="2"/>
    </i>
    <i r="2">
      <x v="3"/>
    </i>
    <i r="1">
      <x v="3"/>
    </i>
    <i r="2">
      <x v="1"/>
    </i>
    <i r="1">
      <x v="4"/>
    </i>
    <i r="2">
      <x v="3"/>
    </i>
    <i r="1">
      <x v="5"/>
    </i>
    <i r="2">
      <x v="2"/>
    </i>
    <i r="2">
      <x v="3"/>
    </i>
    <i r="1">
      <x v="6"/>
    </i>
    <i r="2">
      <x v="2"/>
    </i>
    <i r="2">
      <x v="3"/>
    </i>
    <i r="1">
      <x v="7"/>
    </i>
    <i r="2">
      <x/>
    </i>
    <i r="2">
      <x v="2"/>
    </i>
    <i r="2">
      <x v="3"/>
    </i>
    <i r="1">
      <x v="8"/>
    </i>
    <i r="2">
      <x/>
    </i>
    <i r="2">
      <x v="1"/>
    </i>
    <i r="2">
      <x v="2"/>
    </i>
    <i r="2">
      <x v="3"/>
    </i>
    <i r="1">
      <x v="11"/>
    </i>
    <i r="2">
      <x v="2"/>
    </i>
    <i r="1">
      <x v="12"/>
    </i>
    <i r="2">
      <x v="24"/>
    </i>
    <i r="2">
      <x v="26"/>
    </i>
    <i r="2">
      <x v="34"/>
    </i>
    <i r="2">
      <x v="37"/>
    </i>
    <i r="1">
      <x v="13"/>
    </i>
    <i r="2">
      <x v="23"/>
    </i>
    <i r="2">
      <x v="26"/>
    </i>
    <i r="2">
      <x v="28"/>
    </i>
    <i r="2">
      <x v="31"/>
    </i>
    <i r="2">
      <x v="33"/>
    </i>
    <i r="2">
      <x v="34"/>
    </i>
    <i r="2">
      <x v="35"/>
    </i>
    <i r="2">
      <x v="36"/>
    </i>
    <i r="2">
      <x v="37"/>
    </i>
    <i r="1">
      <x v="14"/>
    </i>
    <i r="2">
      <x v="22"/>
    </i>
    <i r="2">
      <x v="23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1">
      <x v="15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>
      <x v="1"/>
    </i>
    <i r="1">
      <x v="1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3"/>
    </i>
    <i r="2">
      <x v="14"/>
    </i>
    <i r="2">
      <x v="16"/>
    </i>
    <i r="2">
      <x v="17"/>
    </i>
    <i r="2">
      <x v="18"/>
    </i>
    <i r="2">
      <x v="19"/>
    </i>
    <i r="2">
      <x v="20"/>
    </i>
    <i r="2">
      <x v="21"/>
    </i>
    <i>
      <x v="2"/>
    </i>
    <i r="1">
      <x v="9"/>
    </i>
    <i r="2">
      <x v="5"/>
    </i>
    <i r="2">
      <x v="8"/>
    </i>
    <i r="2">
      <x v="11"/>
    </i>
    <i r="2">
      <x v="14"/>
    </i>
    <i r="2">
      <x v="16"/>
    </i>
    <i r="2">
      <x v="17"/>
    </i>
    <i r="2">
      <x v="18"/>
    </i>
    <i r="2">
      <x v="19"/>
    </i>
    <i r="2">
      <x v="20"/>
    </i>
    <i r="2">
      <x v="21"/>
    </i>
    <i>
      <x v="3"/>
    </i>
    <i r="1">
      <x v="10"/>
    </i>
    <i r="2">
      <x v="12"/>
    </i>
    <i r="2">
      <x v="15"/>
    </i>
    <i r="2">
      <x v="17"/>
    </i>
    <i r="2">
      <x v="20"/>
    </i>
  </rowItems>
  <colItems count="1">
    <i/>
  </colItems>
  <dataFields count="1">
    <dataField name="Sum of Sales USD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A62CE3-F443-43E6-B8C6-B5750652F970}" name="PivotTable6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32:C71" firstHeaderRow="1" firstDataRow="1" firstDataCol="1"/>
  <pivotFields count="14">
    <pivotField showAll="0"/>
    <pivotField showAll="0"/>
    <pivotField showAll="0"/>
    <pivotField axis="axisRow" showAll="0">
      <items count="39">
        <item x="16"/>
        <item x="17"/>
        <item x="19"/>
        <item x="18"/>
        <item x="29"/>
        <item x="31"/>
        <item x="30"/>
        <item x="20"/>
        <item x="22"/>
        <item x="21"/>
        <item x="35"/>
        <item x="36"/>
        <item x="37"/>
        <item x="26"/>
        <item x="27"/>
        <item x="28"/>
        <item x="32"/>
        <item x="33"/>
        <item x="34"/>
        <item x="23"/>
        <item x="24"/>
        <item x="25"/>
        <item x="13"/>
        <item x="14"/>
        <item x="15"/>
        <item x="5"/>
        <item x="6"/>
        <item x="7"/>
        <item x="9"/>
        <item x="8"/>
        <item x="0"/>
        <item x="2"/>
        <item x="1"/>
        <item x="10"/>
        <item x="11"/>
        <item x="12"/>
        <item x="3"/>
        <item x="4"/>
        <item t="default"/>
      </items>
    </pivotField>
    <pivotField numFmtId="164" showAll="0">
      <items count="29">
        <item x="0"/>
        <item x="1"/>
        <item x="12"/>
        <item x="13"/>
        <item x="14"/>
        <item x="15"/>
        <item x="2"/>
        <item x="3"/>
        <item x="4"/>
        <item x="5"/>
        <item x="6"/>
        <item x="7"/>
        <item x="8"/>
        <item x="9"/>
        <item x="10"/>
        <item x="11"/>
        <item x="16"/>
        <item x="17"/>
        <item x="18"/>
        <item x="19"/>
        <item x="20"/>
        <item x="21"/>
        <item x="22"/>
        <item x="26"/>
        <item x="23"/>
        <item x="27"/>
        <item x="24"/>
        <item x="25"/>
        <item t="default"/>
      </items>
    </pivotField>
    <pivotField showAll="0"/>
    <pivotField showAll="0"/>
    <pivotField showAll="0"/>
    <pivotField showAll="0">
      <items count="17">
        <item x="7"/>
        <item x="13"/>
        <item x="6"/>
        <item x="8"/>
        <item x="9"/>
        <item x="11"/>
        <item x="10"/>
        <item x="5"/>
        <item x="4"/>
        <item x="14"/>
        <item x="15"/>
        <item x="12"/>
        <item x="3"/>
        <item x="2"/>
        <item x="1"/>
        <item x="0"/>
        <item t="default"/>
      </items>
    </pivotField>
    <pivotField dataField="1"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5">
        <item x="3"/>
        <item x="0"/>
        <item x="1"/>
        <item x="2"/>
        <item t="default"/>
      </items>
    </pivotField>
  </pivotFields>
  <rowFields count="1">
    <field x="3"/>
  </rowFields>
  <rowItems count="3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 t="grand">
      <x/>
    </i>
  </rowItems>
  <colItems count="1">
    <i/>
  </colItems>
  <dataFields count="1">
    <dataField name="Average of Quantity" fld="9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B8564D-196C-484C-A75B-2CD498084AA2}" name="PivotTable1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23:K29" firstHeaderRow="1" firstDataRow="1" firstDataCol="1"/>
  <pivotFields count="14">
    <pivotField showAll="0"/>
    <pivotField showAll="0"/>
    <pivotField showAll="0"/>
    <pivotField showAll="0"/>
    <pivotField numFmtId="164" showAll="0">
      <items count="29">
        <item x="0"/>
        <item x="1"/>
        <item x="12"/>
        <item x="13"/>
        <item x="14"/>
        <item x="15"/>
        <item x="2"/>
        <item x="3"/>
        <item x="4"/>
        <item x="5"/>
        <item x="6"/>
        <item x="7"/>
        <item x="8"/>
        <item x="9"/>
        <item x="10"/>
        <item x="11"/>
        <item x="16"/>
        <item x="17"/>
        <item x="18"/>
        <item x="19"/>
        <item x="20"/>
        <item x="21"/>
        <item x="22"/>
        <item x="26"/>
        <item x="23"/>
        <item x="27"/>
        <item x="24"/>
        <item x="25"/>
        <item t="default"/>
      </items>
    </pivotField>
    <pivotField showAll="0"/>
    <pivotField showAll="0"/>
    <pivotField showAll="0"/>
    <pivotField showAll="0">
      <items count="17">
        <item x="7"/>
        <item x="13"/>
        <item x="6"/>
        <item x="8"/>
        <item x="9"/>
        <item x="11"/>
        <item x="10"/>
        <item x="5"/>
        <item x="4"/>
        <item x="14"/>
        <item x="15"/>
        <item x="12"/>
        <item x="3"/>
        <item x="2"/>
        <item x="1"/>
        <item x="0"/>
        <item t="default"/>
      </items>
    </pivotField>
    <pivotField showAll="0"/>
    <pivotField dataField="1" showAll="0"/>
    <pivotField axis="axisRow" showAll="0" sortType="descending">
      <items count="6">
        <item x="2"/>
        <item x="1"/>
        <item x="4"/>
        <item x="3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5">
        <item x="3"/>
        <item x="0"/>
        <item x="1"/>
        <item x="2"/>
        <item t="default"/>
      </items>
    </pivotField>
  </pivotFields>
  <rowFields count="1">
    <field x="11"/>
  </rowFields>
  <rowItems count="6">
    <i>
      <x v="4"/>
    </i>
    <i>
      <x/>
    </i>
    <i>
      <x v="2"/>
    </i>
    <i>
      <x v="1"/>
    </i>
    <i>
      <x v="3"/>
    </i>
    <i t="grand">
      <x/>
    </i>
  </rowItems>
  <colItems count="1">
    <i/>
  </colItems>
  <dataFields count="1">
    <dataField name="Sum of Sales USD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60F038-D674-4FA5-821C-3EE6DEE3F71D}" name="PivotTable5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25:B26" firstHeaderRow="1" firstDataRow="1" firstDataCol="0" rowPageCount="1" colPageCount="1"/>
  <pivotFields count="14">
    <pivotField showAll="0"/>
    <pivotField showAll="0"/>
    <pivotField showAll="0"/>
    <pivotField showAll="0"/>
    <pivotField numFmtId="164" showAll="0">
      <items count="29">
        <item x="0"/>
        <item x="1"/>
        <item x="12"/>
        <item x="13"/>
        <item x="14"/>
        <item x="15"/>
        <item x="2"/>
        <item x="3"/>
        <item x="4"/>
        <item x="5"/>
        <item x="6"/>
        <item x="7"/>
        <item x="8"/>
        <item x="9"/>
        <item x="10"/>
        <item x="11"/>
        <item x="16"/>
        <item x="17"/>
        <item x="18"/>
        <item x="19"/>
        <item x="20"/>
        <item x="21"/>
        <item x="22"/>
        <item x="26"/>
        <item x="23"/>
        <item x="27"/>
        <item x="24"/>
        <item x="25"/>
        <item t="default"/>
      </items>
    </pivotField>
    <pivotField showAll="0"/>
    <pivotField showAll="0"/>
    <pivotField showAll="0"/>
    <pivotField axis="axisPage" showAll="0">
      <items count="17">
        <item x="7"/>
        <item x="13"/>
        <item x="6"/>
        <item x="8"/>
        <item x="9"/>
        <item x="11"/>
        <item x="10"/>
        <item x="5"/>
        <item x="4"/>
        <item x="14"/>
        <item x="15"/>
        <item x="12"/>
        <item x="3"/>
        <item x="2"/>
        <item x="1"/>
        <item x="0"/>
        <item t="default"/>
      </items>
    </pivotField>
    <pivotField dataField="1"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5">
        <item x="3"/>
        <item x="0"/>
        <item x="1"/>
        <item x="2"/>
        <item t="default"/>
      </items>
    </pivotField>
  </pivotFields>
  <rowItems count="1">
    <i/>
  </rowItems>
  <colItems count="1">
    <i/>
  </colItems>
  <pageFields count="1">
    <pageField fld="8" hier="-1"/>
  </pageFields>
  <dataFields count="1">
    <dataField name="Sum of Quantity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D03F52-7805-4E6D-8528-2A7AA75FE389}" name="PivotTable4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13:C19" firstHeaderRow="1" firstDataRow="1" firstDataCol="1" rowPageCount="1" colPageCount="1"/>
  <pivotFields count="14"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  <pivotField numFmtId="164" showAll="0">
      <items count="29">
        <item x="0"/>
        <item x="1"/>
        <item x="12"/>
        <item x="13"/>
        <item x="14"/>
        <item x="15"/>
        <item x="2"/>
        <item x="3"/>
        <item x="4"/>
        <item x="5"/>
        <item x="6"/>
        <item x="7"/>
        <item x="8"/>
        <item x="9"/>
        <item x="10"/>
        <item x="11"/>
        <item x="16"/>
        <item x="17"/>
        <item x="18"/>
        <item x="19"/>
        <item x="20"/>
        <item x="21"/>
        <item x="22"/>
        <item x="26"/>
        <item x="23"/>
        <item x="27"/>
        <item x="24"/>
        <item x="25"/>
        <item t="default"/>
      </items>
    </pivotField>
    <pivotField showAll="0"/>
    <pivotField showAll="0"/>
    <pivotField showAll="0"/>
    <pivotField axis="axisRow" dataField="1" showAll="0">
      <items count="17">
        <item x="7"/>
        <item x="13"/>
        <item x="6"/>
        <item x="8"/>
        <item x="9"/>
        <item x="11"/>
        <item x="10"/>
        <item x="5"/>
        <item x="4"/>
        <item x="14"/>
        <item x="15"/>
        <item x="12"/>
        <item x="3"/>
        <item x="2"/>
        <item x="1"/>
        <item x="0"/>
        <item t="default"/>
      </items>
    </pivotField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axis="axisRow" showAll="0">
      <items count="5">
        <item x="3"/>
        <item x="0"/>
        <item x="1"/>
        <item x="2"/>
        <item t="default"/>
      </items>
    </pivotField>
  </pivotFields>
  <rowFields count="2">
    <field x="13"/>
    <field x="8"/>
  </rowFields>
  <rowItems count="6">
    <i>
      <x/>
    </i>
    <i r="1">
      <x v="12"/>
    </i>
    <i r="1">
      <x v="13"/>
    </i>
    <i r="1">
      <x v="14"/>
    </i>
    <i r="1">
      <x v="15"/>
    </i>
    <i t="grand">
      <x/>
    </i>
  </rowItems>
  <colItems count="1">
    <i/>
  </colItems>
  <pageFields count="1">
    <pageField fld="1" item="2" hier="-1"/>
  </pageFields>
  <dataFields count="1">
    <dataField name="Count of Product Description" fld="8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AD0BA4-3E13-434A-8049-71E2F1A85C59}" name="PivotTable15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165:G194" firstHeaderRow="1" firstDataRow="1" firstDataCol="1"/>
  <pivotFields count="14">
    <pivotField showAll="0"/>
    <pivotField showAll="0"/>
    <pivotField showAll="0"/>
    <pivotField showAll="0"/>
    <pivotField numFmtId="164" showAll="0">
      <items count="29">
        <item x="0"/>
        <item x="1"/>
        <item x="12"/>
        <item x="13"/>
        <item x="14"/>
        <item x="15"/>
        <item x="2"/>
        <item x="3"/>
        <item x="4"/>
        <item x="5"/>
        <item x="6"/>
        <item x="7"/>
        <item x="8"/>
        <item x="9"/>
        <item x="10"/>
        <item x="11"/>
        <item x="16"/>
        <item x="17"/>
        <item x="18"/>
        <item x="19"/>
        <item x="20"/>
        <item x="21"/>
        <item x="22"/>
        <item x="26"/>
        <item x="23"/>
        <item x="27"/>
        <item x="24"/>
        <item x="25"/>
        <item t="default"/>
      </items>
    </pivotField>
    <pivotField showAll="0"/>
    <pivotField showAll="0"/>
    <pivotField showAll="0"/>
    <pivotField showAll="0">
      <items count="17">
        <item x="7"/>
        <item x="13"/>
        <item x="6"/>
        <item x="8"/>
        <item x="9"/>
        <item x="11"/>
        <item x="10"/>
        <item x="5"/>
        <item x="4"/>
        <item x="14"/>
        <item x="15"/>
        <item x="12"/>
        <item x="3"/>
        <item x="2"/>
        <item x="1"/>
        <item x="0"/>
        <item t="default"/>
      </items>
    </pivotField>
    <pivotField showAll="0"/>
    <pivotField dataField="1" showAll="0"/>
    <pivotField showAll="0"/>
    <pivotField axis="axisRow" showAll="0" sortType="descending">
      <items count="369">
        <item x="253"/>
        <item x="283"/>
        <item x="314"/>
        <item x="130"/>
        <item x="69"/>
        <item x="161"/>
        <item x="191"/>
        <item x="9"/>
        <item x="40"/>
        <item x="344"/>
        <item x="222"/>
        <item x="100"/>
        <item x="252"/>
        <item x="282"/>
        <item x="313"/>
        <item x="129"/>
        <item x="68"/>
        <item x="160"/>
        <item x="190"/>
        <item x="8"/>
        <item x="39"/>
        <item x="343"/>
        <item x="221"/>
        <item x="99"/>
        <item x="251"/>
        <item x="281"/>
        <item x="312"/>
        <item x="128"/>
        <item x="67"/>
        <item x="159"/>
        <item x="189"/>
        <item x="7"/>
        <item x="38"/>
        <item x="342"/>
        <item x="220"/>
        <item x="98"/>
        <item x="250"/>
        <item x="280"/>
        <item x="311"/>
        <item x="127"/>
        <item x="66"/>
        <item x="158"/>
        <item x="188"/>
        <item x="6"/>
        <item x="37"/>
        <item x="341"/>
        <item x="219"/>
        <item x="97"/>
        <item x="249"/>
        <item x="279"/>
        <item x="310"/>
        <item x="126"/>
        <item x="65"/>
        <item x="157"/>
        <item x="187"/>
        <item x="5"/>
        <item x="36"/>
        <item x="340"/>
        <item x="218"/>
        <item x="96"/>
        <item x="248"/>
        <item x="278"/>
        <item x="309"/>
        <item x="125"/>
        <item x="64"/>
        <item x="156"/>
        <item x="186"/>
        <item x="4"/>
        <item x="35"/>
        <item x="339"/>
        <item x="217"/>
        <item x="95"/>
        <item x="247"/>
        <item x="277"/>
        <item x="308"/>
        <item x="124"/>
        <item x="63"/>
        <item x="155"/>
        <item x="185"/>
        <item x="3"/>
        <item x="34"/>
        <item x="338"/>
        <item x="216"/>
        <item x="94"/>
        <item x="305"/>
        <item x="152"/>
        <item x="91"/>
        <item x="213"/>
        <item x="31"/>
        <item x="366"/>
        <item x="244"/>
        <item x="274"/>
        <item x="304"/>
        <item x="335"/>
        <item x="151"/>
        <item x="90"/>
        <item x="182"/>
        <item x="212"/>
        <item x="30"/>
        <item x="365"/>
        <item x="243"/>
        <item x="121"/>
        <item x="246"/>
        <item x="276"/>
        <item x="307"/>
        <item x="123"/>
        <item x="62"/>
        <item x="154"/>
        <item x="184"/>
        <item x="2"/>
        <item x="33"/>
        <item x="337"/>
        <item x="215"/>
        <item x="93"/>
        <item x="273"/>
        <item x="303"/>
        <item x="334"/>
        <item x="150"/>
        <item x="89"/>
        <item x="181"/>
        <item x="211"/>
        <item x="29"/>
        <item x="60"/>
        <item x="364"/>
        <item x="242"/>
        <item x="120"/>
        <item x="272"/>
        <item x="302"/>
        <item x="333"/>
        <item x="149"/>
        <item x="88"/>
        <item x="180"/>
        <item x="210"/>
        <item x="28"/>
        <item x="59"/>
        <item x="363"/>
        <item x="241"/>
        <item x="119"/>
        <item x="271"/>
        <item x="301"/>
        <item x="332"/>
        <item x="148"/>
        <item x="87"/>
        <item x="179"/>
        <item x="209"/>
        <item x="27"/>
        <item x="58"/>
        <item x="362"/>
        <item x="240"/>
        <item x="118"/>
        <item x="270"/>
        <item x="300"/>
        <item x="331"/>
        <item x="147"/>
        <item x="86"/>
        <item x="178"/>
        <item x="208"/>
        <item x="26"/>
        <item x="57"/>
        <item x="361"/>
        <item x="239"/>
        <item x="117"/>
        <item x="269"/>
        <item x="299"/>
        <item x="330"/>
        <item x="146"/>
        <item x="85"/>
        <item x="177"/>
        <item x="207"/>
        <item x="25"/>
        <item x="56"/>
        <item x="360"/>
        <item x="238"/>
        <item x="116"/>
        <item x="268"/>
        <item x="298"/>
        <item x="329"/>
        <item x="145"/>
        <item x="84"/>
        <item x="176"/>
        <item x="206"/>
        <item x="24"/>
        <item x="55"/>
        <item x="359"/>
        <item x="237"/>
        <item x="115"/>
        <item x="267"/>
        <item x="297"/>
        <item x="328"/>
        <item x="144"/>
        <item x="83"/>
        <item x="175"/>
        <item x="205"/>
        <item x="23"/>
        <item x="54"/>
        <item x="358"/>
        <item x="236"/>
        <item x="114"/>
        <item x="266"/>
        <item x="296"/>
        <item x="327"/>
        <item x="143"/>
        <item x="82"/>
        <item x="174"/>
        <item x="204"/>
        <item x="22"/>
        <item x="53"/>
        <item x="357"/>
        <item x="235"/>
        <item x="113"/>
        <item x="265"/>
        <item x="295"/>
        <item x="326"/>
        <item x="142"/>
        <item x="81"/>
        <item x="173"/>
        <item x="203"/>
        <item x="21"/>
        <item x="52"/>
        <item x="356"/>
        <item x="234"/>
        <item x="112"/>
        <item x="264"/>
        <item x="294"/>
        <item x="325"/>
        <item x="141"/>
        <item x="80"/>
        <item x="172"/>
        <item x="202"/>
        <item x="20"/>
        <item x="51"/>
        <item x="355"/>
        <item x="233"/>
        <item x="111"/>
        <item x="245"/>
        <item x="275"/>
        <item x="306"/>
        <item x="122"/>
        <item x="61"/>
        <item x="153"/>
        <item x="183"/>
        <item x="1"/>
        <item x="32"/>
        <item x="336"/>
        <item x="214"/>
        <item x="92"/>
        <item x="263"/>
        <item x="293"/>
        <item x="324"/>
        <item x="140"/>
        <item x="79"/>
        <item x="171"/>
        <item x="201"/>
        <item x="19"/>
        <item x="50"/>
        <item x="354"/>
        <item x="232"/>
        <item x="110"/>
        <item x="262"/>
        <item x="292"/>
        <item x="323"/>
        <item x="139"/>
        <item x="78"/>
        <item x="170"/>
        <item x="200"/>
        <item x="18"/>
        <item x="49"/>
        <item x="353"/>
        <item x="231"/>
        <item x="109"/>
        <item x="261"/>
        <item x="291"/>
        <item x="322"/>
        <item x="138"/>
        <item x="77"/>
        <item x="169"/>
        <item x="199"/>
        <item x="17"/>
        <item x="48"/>
        <item x="352"/>
        <item x="230"/>
        <item x="108"/>
        <item x="260"/>
        <item x="290"/>
        <item x="321"/>
        <item x="137"/>
        <item x="76"/>
        <item x="168"/>
        <item x="198"/>
        <item x="16"/>
        <item x="47"/>
        <item x="351"/>
        <item x="229"/>
        <item x="107"/>
        <item x="259"/>
        <item x="289"/>
        <item x="320"/>
        <item x="136"/>
        <item x="75"/>
        <item x="167"/>
        <item x="197"/>
        <item x="15"/>
        <item x="46"/>
        <item x="350"/>
        <item x="228"/>
        <item x="106"/>
        <item x="258"/>
        <item x="288"/>
        <item x="319"/>
        <item x="135"/>
        <item x="74"/>
        <item x="166"/>
        <item x="196"/>
        <item x="14"/>
        <item x="45"/>
        <item x="349"/>
        <item x="227"/>
        <item x="105"/>
        <item x="257"/>
        <item x="287"/>
        <item x="318"/>
        <item x="134"/>
        <item x="73"/>
        <item x="165"/>
        <item x="195"/>
        <item x="13"/>
        <item x="44"/>
        <item x="348"/>
        <item x="226"/>
        <item x="104"/>
        <item x="256"/>
        <item x="286"/>
        <item x="317"/>
        <item x="133"/>
        <item x="72"/>
        <item x="164"/>
        <item x="194"/>
        <item x="12"/>
        <item x="43"/>
        <item x="347"/>
        <item x="225"/>
        <item x="103"/>
        <item x="255"/>
        <item x="285"/>
        <item x="316"/>
        <item x="132"/>
        <item x="71"/>
        <item x="163"/>
        <item x="193"/>
        <item x="11"/>
        <item x="42"/>
        <item x="346"/>
        <item x="224"/>
        <item x="102"/>
        <item x="254"/>
        <item x="284"/>
        <item x="315"/>
        <item x="131"/>
        <item x="70"/>
        <item x="162"/>
        <item x="192"/>
        <item x="10"/>
        <item x="41"/>
        <item x="345"/>
        <item x="223"/>
        <item x="101"/>
        <item x="367"/>
        <item x="0"/>
        <item t="default"/>
      </items>
    </pivotField>
    <pivotField showAll="0">
      <items count="5">
        <item x="3"/>
        <item x="0"/>
        <item x="1"/>
        <item x="2"/>
        <item t="default"/>
      </items>
    </pivotField>
  </pivotFields>
  <rowFields count="1">
    <field x="12"/>
  </rowFields>
  <rowItems count="29">
    <i>
      <x v="5"/>
    </i>
    <i>
      <x v="17"/>
    </i>
    <i>
      <x v="29"/>
    </i>
    <i>
      <x v="41"/>
    </i>
    <i>
      <x v="53"/>
    </i>
    <i>
      <x v="65"/>
    </i>
    <i>
      <x v="77"/>
    </i>
    <i>
      <x v="96"/>
    </i>
    <i>
      <x v="107"/>
    </i>
    <i>
      <x v="119"/>
    </i>
    <i>
      <x v="155"/>
    </i>
    <i>
      <x v="167"/>
    </i>
    <i>
      <x v="179"/>
    </i>
    <i>
      <x v="191"/>
    </i>
    <i>
      <x v="203"/>
    </i>
    <i>
      <x v="215"/>
    </i>
    <i>
      <x v="227"/>
    </i>
    <i>
      <x v="239"/>
    </i>
    <i>
      <x v="251"/>
    </i>
    <i>
      <x v="263"/>
    </i>
    <i>
      <x v="275"/>
    </i>
    <i>
      <x v="287"/>
    </i>
    <i>
      <x v="299"/>
    </i>
    <i>
      <x v="311"/>
    </i>
    <i>
      <x v="323"/>
    </i>
    <i>
      <x v="335"/>
    </i>
    <i>
      <x v="347"/>
    </i>
    <i>
      <x v="359"/>
    </i>
    <i t="grand">
      <x/>
    </i>
  </rowItems>
  <colItems count="1">
    <i/>
  </colItems>
  <dataFields count="1">
    <dataField name="Sum of Sales USD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12E319-0FCC-4CFD-844D-69245866407A}" name="PivotTable13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95:C308" firstHeaderRow="1" firstDataRow="1" firstDataCol="1"/>
  <pivotFields count="14">
    <pivotField showAll="0"/>
    <pivotField showAll="0"/>
    <pivotField showAll="0"/>
    <pivotField axis="axisRow" showAll="0">
      <items count="39">
        <item x="16"/>
        <item x="17"/>
        <item x="19"/>
        <item x="18"/>
        <item x="29"/>
        <item x="31"/>
        <item x="30"/>
        <item x="20"/>
        <item x="22"/>
        <item x="21"/>
        <item x="35"/>
        <item x="36"/>
        <item x="37"/>
        <item x="26"/>
        <item x="27"/>
        <item x="28"/>
        <item x="32"/>
        <item x="33"/>
        <item x="34"/>
        <item x="23"/>
        <item x="24"/>
        <item x="25"/>
        <item x="13"/>
        <item x="14"/>
        <item x="15"/>
        <item x="5"/>
        <item x="6"/>
        <item x="7"/>
        <item x="9"/>
        <item x="8"/>
        <item x="0"/>
        <item x="2"/>
        <item x="1"/>
        <item x="10"/>
        <item x="11"/>
        <item x="12"/>
        <item x="3"/>
        <item x="4"/>
        <item t="default"/>
      </items>
    </pivotField>
    <pivotField numFmtId="164" showAll="0">
      <items count="29">
        <item x="0"/>
        <item x="1"/>
        <item x="12"/>
        <item x="13"/>
        <item x="14"/>
        <item x="15"/>
        <item x="2"/>
        <item x="3"/>
        <item x="4"/>
        <item x="5"/>
        <item x="6"/>
        <item x="7"/>
        <item x="8"/>
        <item x="9"/>
        <item x="10"/>
        <item x="11"/>
        <item x="16"/>
        <item x="17"/>
        <item x="18"/>
        <item x="19"/>
        <item x="20"/>
        <item x="21"/>
        <item x="22"/>
        <item x="26"/>
        <item x="23"/>
        <item x="27"/>
        <item x="24"/>
        <item x="25"/>
        <item t="default"/>
      </items>
    </pivotField>
    <pivotField showAll="0"/>
    <pivotField axis="axisRow" showAll="0">
      <items count="5">
        <item x="3"/>
        <item x="0"/>
        <item x="1"/>
        <item x="2"/>
        <item t="default"/>
      </items>
    </pivotField>
    <pivotField showAll="0"/>
    <pivotField axis="axisRow" showAll="0">
      <items count="17">
        <item x="7"/>
        <item x="13"/>
        <item x="6"/>
        <item x="8"/>
        <item x="9"/>
        <item x="11"/>
        <item x="10"/>
        <item x="5"/>
        <item x="4"/>
        <item x="14"/>
        <item x="15"/>
        <item x="12"/>
        <item x="3"/>
        <item x="2"/>
        <item x="1"/>
        <item x="0"/>
        <item t="default"/>
      </items>
    </pivotField>
    <pivotField dataField="1"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axis="axisRow" showAll="0">
      <items count="5">
        <item x="3"/>
        <item x="0"/>
        <item x="1"/>
        <item x="2"/>
        <item t="default"/>
      </items>
    </pivotField>
  </pivotFields>
  <rowFields count="4">
    <field x="6"/>
    <field x="3"/>
    <field x="13"/>
    <field x="8"/>
  </rowFields>
  <rowItems count="213">
    <i>
      <x/>
    </i>
    <i r="1">
      <x v="5"/>
    </i>
    <i r="2">
      <x/>
    </i>
    <i r="3">
      <x/>
    </i>
    <i r="2">
      <x v="1"/>
    </i>
    <i r="3">
      <x v="1"/>
    </i>
    <i r="2">
      <x v="2"/>
    </i>
    <i r="3">
      <x v="9"/>
    </i>
    <i r="1">
      <x v="8"/>
    </i>
    <i r="2">
      <x/>
    </i>
    <i r="3">
      <x/>
    </i>
    <i r="2">
      <x v="1"/>
    </i>
    <i r="3">
      <x v="1"/>
    </i>
    <i r="2">
      <x v="2"/>
    </i>
    <i r="3">
      <x v="9"/>
    </i>
    <i r="1">
      <x v="10"/>
    </i>
    <i r="2">
      <x/>
    </i>
    <i r="3">
      <x/>
    </i>
    <i r="2">
      <x v="1"/>
    </i>
    <i r="3">
      <x v="1"/>
    </i>
    <i r="1">
      <x v="12"/>
    </i>
    <i r="2">
      <x/>
    </i>
    <i r="3">
      <x/>
    </i>
    <i r="2">
      <x v="3"/>
    </i>
    <i r="3">
      <x v="10"/>
    </i>
    <i r="1">
      <x v="13"/>
    </i>
    <i r="2">
      <x/>
    </i>
    <i r="3">
      <x/>
    </i>
    <i r="2">
      <x v="1"/>
    </i>
    <i r="3">
      <x v="1"/>
    </i>
    <i r="1">
      <x v="15"/>
    </i>
    <i r="2">
      <x/>
    </i>
    <i r="3">
      <x/>
    </i>
    <i r="2">
      <x v="3"/>
    </i>
    <i r="3">
      <x v="10"/>
    </i>
    <i r="1">
      <x v="17"/>
    </i>
    <i r="2">
      <x v="1"/>
    </i>
    <i r="3">
      <x v="1"/>
    </i>
    <i r="2">
      <x v="2"/>
    </i>
    <i r="3">
      <x v="9"/>
    </i>
    <i r="2">
      <x v="3"/>
    </i>
    <i r="3">
      <x v="10"/>
    </i>
    <i r="1">
      <x v="20"/>
    </i>
    <i r="2">
      <x v="1"/>
    </i>
    <i r="3">
      <x v="1"/>
    </i>
    <i r="2">
      <x v="2"/>
    </i>
    <i r="3">
      <x v="9"/>
    </i>
    <i r="2">
      <x v="3"/>
    </i>
    <i r="3">
      <x v="10"/>
    </i>
    <i>
      <x v="1"/>
    </i>
    <i r="1">
      <x v="2"/>
    </i>
    <i r="2">
      <x/>
    </i>
    <i r="3">
      <x v="2"/>
    </i>
    <i r="3">
      <x v="5"/>
    </i>
    <i r="3">
      <x v="6"/>
    </i>
    <i r="3">
      <x v="7"/>
    </i>
    <i r="3">
      <x v="8"/>
    </i>
    <i r="3">
      <x v="11"/>
    </i>
    <i r="1">
      <x v="23"/>
    </i>
    <i r="2">
      <x/>
    </i>
    <i r="3">
      <x v="13"/>
    </i>
    <i r="3">
      <x v="14"/>
    </i>
    <i r="3">
      <x v="15"/>
    </i>
    <i r="1">
      <x v="26"/>
    </i>
    <i r="2">
      <x/>
    </i>
    <i r="3">
      <x v="13"/>
    </i>
    <i r="3">
      <x v="14"/>
    </i>
    <i r="3">
      <x v="15"/>
    </i>
    <i r="1">
      <x v="27"/>
    </i>
    <i r="2">
      <x/>
    </i>
    <i r="3">
      <x v="14"/>
    </i>
    <i r="3">
      <x v="15"/>
    </i>
    <i r="1">
      <x v="29"/>
    </i>
    <i r="2">
      <x/>
    </i>
    <i r="3">
      <x v="14"/>
    </i>
    <i r="3">
      <x v="15"/>
    </i>
    <i r="1">
      <x v="30"/>
    </i>
    <i r="2">
      <x/>
    </i>
    <i r="3">
      <x v="14"/>
    </i>
    <i r="3">
      <x v="15"/>
    </i>
    <i r="1">
      <x v="32"/>
    </i>
    <i r="2">
      <x/>
    </i>
    <i r="3">
      <x v="14"/>
    </i>
    <i r="3">
      <x v="15"/>
    </i>
    <i r="1">
      <x v="33"/>
    </i>
    <i r="2">
      <x/>
    </i>
    <i r="3">
      <x v="13"/>
    </i>
    <i r="3">
      <x v="14"/>
    </i>
    <i r="1">
      <x v="35"/>
    </i>
    <i r="2">
      <x/>
    </i>
    <i r="3">
      <x v="13"/>
    </i>
    <i r="3">
      <x v="14"/>
    </i>
    <i r="1">
      <x v="36"/>
    </i>
    <i r="2">
      <x/>
    </i>
    <i r="3">
      <x v="13"/>
    </i>
    <i r="3">
      <x v="14"/>
    </i>
    <i r="1">
      <x v="37"/>
    </i>
    <i r="2">
      <x/>
    </i>
    <i r="3">
      <x v="13"/>
    </i>
    <i r="3">
      <x v="14"/>
    </i>
    <i>
      <x v="2"/>
    </i>
    <i r="1">
      <x/>
    </i>
    <i r="2">
      <x/>
    </i>
    <i r="3">
      <x/>
    </i>
    <i r="3">
      <x v="2"/>
    </i>
    <i r="3">
      <x v="7"/>
    </i>
    <i r="3">
      <x v="8"/>
    </i>
    <i r="1">
      <x v="1"/>
    </i>
    <i r="2">
      <x/>
    </i>
    <i r="3">
      <x/>
    </i>
    <i r="3">
      <x v="3"/>
    </i>
    <i r="3">
      <x v="8"/>
    </i>
    <i r="1">
      <x v="3"/>
    </i>
    <i r="2">
      <x/>
    </i>
    <i r="3">
      <x/>
    </i>
    <i r="3">
      <x v="2"/>
    </i>
    <i r="3">
      <x v="4"/>
    </i>
    <i r="3">
      <x v="5"/>
    </i>
    <i r="3">
      <x v="6"/>
    </i>
    <i r="3">
      <x v="7"/>
    </i>
    <i r="3">
      <x v="8"/>
    </i>
    <i r="1">
      <x v="22"/>
    </i>
    <i r="2">
      <x/>
    </i>
    <i r="3">
      <x v="14"/>
    </i>
    <i r="3">
      <x v="15"/>
    </i>
    <i r="1">
      <x v="24"/>
    </i>
    <i r="2">
      <x/>
    </i>
    <i r="3">
      <x v="12"/>
    </i>
    <i r="3">
      <x v="15"/>
    </i>
    <i r="1">
      <x v="25"/>
    </i>
    <i r="2">
      <x/>
    </i>
    <i r="3">
      <x v="14"/>
    </i>
    <i r="3">
      <x v="15"/>
    </i>
    <i r="1">
      <x v="26"/>
    </i>
    <i r="2">
      <x/>
    </i>
    <i r="3">
      <x v="12"/>
    </i>
    <i r="3">
      <x v="15"/>
    </i>
    <i r="1">
      <x v="28"/>
    </i>
    <i r="2">
      <x/>
    </i>
    <i r="3">
      <x v="13"/>
    </i>
    <i r="3">
      <x v="14"/>
    </i>
    <i r="3">
      <x v="15"/>
    </i>
    <i r="1">
      <x v="31"/>
    </i>
    <i r="2">
      <x/>
    </i>
    <i r="3">
      <x v="13"/>
    </i>
    <i r="3">
      <x v="14"/>
    </i>
    <i r="3">
      <x v="15"/>
    </i>
    <i r="1">
      <x v="34"/>
    </i>
    <i r="2">
      <x/>
    </i>
    <i r="3">
      <x v="12"/>
    </i>
    <i r="3">
      <x v="13"/>
    </i>
    <i r="3">
      <x v="14"/>
    </i>
    <i r="1">
      <x v="37"/>
    </i>
    <i r="2">
      <x/>
    </i>
    <i r="3">
      <x v="12"/>
    </i>
    <i r="3">
      <x v="13"/>
    </i>
    <i r="3">
      <x v="14"/>
    </i>
    <i>
      <x v="3"/>
    </i>
    <i r="1">
      <x v="4"/>
    </i>
    <i r="2">
      <x/>
    </i>
    <i r="3">
      <x/>
    </i>
    <i r="2">
      <x v="1"/>
    </i>
    <i r="3">
      <x v="1"/>
    </i>
    <i r="1">
      <x v="6"/>
    </i>
    <i r="2">
      <x/>
    </i>
    <i r="3">
      <x/>
    </i>
    <i r="2">
      <x v="1"/>
    </i>
    <i r="3">
      <x v="1"/>
    </i>
    <i r="1">
      <x v="7"/>
    </i>
    <i r="2">
      <x/>
    </i>
    <i r="3">
      <x/>
    </i>
    <i r="2">
      <x v="1"/>
    </i>
    <i r="3">
      <x v="1"/>
    </i>
    <i r="1">
      <x v="9"/>
    </i>
    <i r="2">
      <x/>
    </i>
    <i r="3">
      <x/>
    </i>
    <i r="2">
      <x v="1"/>
    </i>
    <i r="3">
      <x v="1"/>
    </i>
    <i r="1">
      <x v="11"/>
    </i>
    <i r="2">
      <x/>
    </i>
    <i r="3">
      <x/>
    </i>
    <i r="2">
      <x v="1"/>
    </i>
    <i r="3">
      <x v="1"/>
    </i>
    <i r="2">
      <x v="2"/>
    </i>
    <i r="3">
      <x v="9"/>
    </i>
    <i r="1">
      <x v="14"/>
    </i>
    <i r="2">
      <x/>
    </i>
    <i r="3">
      <x/>
    </i>
    <i r="2">
      <x v="1"/>
    </i>
    <i r="3">
      <x v="1"/>
    </i>
    <i r="2">
      <x v="2"/>
    </i>
    <i r="3">
      <x v="9"/>
    </i>
    <i r="1">
      <x v="16"/>
    </i>
    <i r="2">
      <x v="1"/>
    </i>
    <i r="3">
      <x v="1"/>
    </i>
    <i r="2">
      <x v="2"/>
    </i>
    <i r="3">
      <x v="9"/>
    </i>
    <i r="1">
      <x v="18"/>
    </i>
    <i r="2">
      <x v="1"/>
    </i>
    <i r="3">
      <x v="1"/>
    </i>
    <i r="2">
      <x v="2"/>
    </i>
    <i r="3">
      <x v="9"/>
    </i>
    <i r="1">
      <x v="19"/>
    </i>
    <i r="2">
      <x v="1"/>
    </i>
    <i r="3">
      <x v="1"/>
    </i>
    <i r="2">
      <x v="2"/>
    </i>
    <i r="3">
      <x v="9"/>
    </i>
    <i r="1">
      <x v="21"/>
    </i>
    <i r="2">
      <x v="1"/>
    </i>
    <i r="3">
      <x v="1"/>
    </i>
    <i r="2">
      <x v="2"/>
    </i>
    <i r="3">
      <x v="9"/>
    </i>
    <i t="grand">
      <x/>
    </i>
  </rowItems>
  <colItems count="1">
    <i/>
  </colItems>
  <dataFields count="1">
    <dataField name="Sum of Quantity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C4FB12-D64F-40FD-89FA-500BB4741CA1}" name="PivotTable2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B5" firstHeaderRow="1" firstDataRow="1" firstDataCol="0" rowPageCount="1" colPageCount="1"/>
  <pivotFields count="14"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  <pivotField numFmtId="164" showAll="0">
      <items count="29">
        <item x="0"/>
        <item x="1"/>
        <item x="12"/>
        <item x="13"/>
        <item x="14"/>
        <item x="15"/>
        <item x="2"/>
        <item x="3"/>
        <item x="4"/>
        <item x="5"/>
        <item x="6"/>
        <item x="7"/>
        <item x="8"/>
        <item x="9"/>
        <item x="10"/>
        <item x="11"/>
        <item x="16"/>
        <item x="17"/>
        <item x="18"/>
        <item x="19"/>
        <item x="20"/>
        <item x="21"/>
        <item x="22"/>
        <item x="26"/>
        <item x="23"/>
        <item x="27"/>
        <item x="24"/>
        <item x="25"/>
        <item t="default"/>
      </items>
    </pivotField>
    <pivotField showAll="0"/>
    <pivotField showAll="0"/>
    <pivotField showAll="0"/>
    <pivotField showAll="0">
      <items count="17">
        <item x="7"/>
        <item x="13"/>
        <item x="6"/>
        <item x="8"/>
        <item x="9"/>
        <item x="11"/>
        <item x="10"/>
        <item x="5"/>
        <item x="4"/>
        <item x="14"/>
        <item x="15"/>
        <item x="12"/>
        <item x="3"/>
        <item x="2"/>
        <item x="1"/>
        <item x="0"/>
        <item t="default"/>
      </items>
    </pivotField>
    <pivotField showAll="0"/>
    <pivotField dataField="1"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5">
        <item x="3"/>
        <item x="0"/>
        <item x="1"/>
        <item x="2"/>
        <item t="default"/>
      </items>
    </pivotField>
  </pivotFields>
  <rowItems count="1">
    <i/>
  </rowItems>
  <colItems count="1">
    <i/>
  </colItems>
  <pageFields count="1">
    <pageField fld="1" item="2" hier="-1"/>
  </pageFields>
  <dataFields count="1">
    <dataField name="Sum of Sales USD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0958E0-89F2-459D-9FB6-141E2D62F93E}" name="PivotTable1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80:C85" firstHeaderRow="1" firstDataRow="1" firstDataCol="1"/>
  <pivotFields count="2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Distinct Count of Sales Document" fld="1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pivotHierarchies count="1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Distinct Count of Sales Document"/>
  </pivotHierarchies>
  <pivotTableStyleInfo name="PivotStyleLight16" showRowHeaders="1" showColHeaders="1" showRowStripes="0" showColStripes="0" showLastColumn="1"/>
  <rowHierarchiesUsage count="1">
    <rowHierarchyUsage hierarchyUsage="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Case Study 2(Pivot Table) (1).xlsx!TSales2">
        <x15:activeTabTopLevelEntity name="[TSales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EC8691-7B7F-4DF3-9DCE-7E9667C4F80C}" name="PivotTable14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10:AF17" firstHeaderRow="1" firstDataRow="3" firstDataCol="1"/>
  <pivotFields count="14">
    <pivotField showAll="0"/>
    <pivotField showAll="0"/>
    <pivotField showAll="0"/>
    <pivotField showAll="0"/>
    <pivotField numFmtId="164" showAll="0">
      <items count="29">
        <item x="0"/>
        <item x="1"/>
        <item x="12"/>
        <item x="13"/>
        <item x="14"/>
        <item x="15"/>
        <item x="2"/>
        <item x="3"/>
        <item x="4"/>
        <item x="5"/>
        <item x="6"/>
        <item x="7"/>
        <item x="8"/>
        <item x="9"/>
        <item x="10"/>
        <item x="11"/>
        <item x="16"/>
        <item x="17"/>
        <item x="18"/>
        <item x="19"/>
        <item x="20"/>
        <item x="21"/>
        <item x="22"/>
        <item x="26"/>
        <item x="23"/>
        <item x="27"/>
        <item x="24"/>
        <item x="25"/>
        <item t="default"/>
      </items>
    </pivotField>
    <pivotField showAll="0"/>
    <pivotField axis="axisRow" showAll="0">
      <items count="5">
        <item x="3"/>
        <item x="0"/>
        <item x="1"/>
        <item x="2"/>
        <item t="default"/>
      </items>
    </pivotField>
    <pivotField showAll="0"/>
    <pivotField axis="axisCol" showAll="0">
      <items count="17">
        <item x="7"/>
        <item x="13"/>
        <item x="6"/>
        <item x="8"/>
        <item x="9"/>
        <item x="11"/>
        <item x="10"/>
        <item x="5"/>
        <item x="4"/>
        <item x="14"/>
        <item x="15"/>
        <item x="12"/>
        <item x="3"/>
        <item x="2"/>
        <item x="1"/>
        <item x="0"/>
        <item t="default"/>
      </items>
    </pivotField>
    <pivotField dataField="1"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axis="axisCol" showAll="0">
      <items count="5">
        <item x="3"/>
        <item x="0"/>
        <item x="1"/>
        <item x="2"/>
        <item t="default"/>
      </items>
    </pivotField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Fields count="2">
    <field x="13"/>
    <field x="8"/>
  </colFields>
  <colItems count="21">
    <i>
      <x/>
      <x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11"/>
    </i>
    <i r="1">
      <x v="12"/>
    </i>
    <i r="1">
      <x v="13"/>
    </i>
    <i r="1">
      <x v="14"/>
    </i>
    <i r="1">
      <x v="15"/>
    </i>
    <i t="default">
      <x/>
    </i>
    <i>
      <x v="1"/>
      <x v="1"/>
    </i>
    <i t="default">
      <x v="1"/>
    </i>
    <i>
      <x v="2"/>
      <x v="9"/>
    </i>
    <i t="default">
      <x v="2"/>
    </i>
    <i>
      <x v="3"/>
      <x v="10"/>
    </i>
    <i t="default">
      <x v="3"/>
    </i>
    <i t="grand">
      <x/>
    </i>
  </colItems>
  <dataFields count="1">
    <dataField name="Average of Quantity" fld="9" subtotal="average" baseField="6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E750A1-60B6-41C4-AC6B-D178BA1465F1}" name="PivotTable11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7:E28" firstHeaderRow="1" firstDataRow="1" firstDataCol="1"/>
  <pivotFields count="14">
    <pivotField showAll="0"/>
    <pivotField showAll="0"/>
    <pivotField showAll="0"/>
    <pivotField showAll="0"/>
    <pivotField numFmtId="164" showAll="0">
      <items count="29">
        <item x="0"/>
        <item x="1"/>
        <item x="12"/>
        <item x="13"/>
        <item x="14"/>
        <item x="15"/>
        <item x="2"/>
        <item x="3"/>
        <item x="4"/>
        <item x="5"/>
        <item x="6"/>
        <item x="7"/>
        <item x="8"/>
        <item x="9"/>
        <item x="10"/>
        <item x="11"/>
        <item x="16"/>
        <item x="17"/>
        <item x="18"/>
        <item x="19"/>
        <item x="20"/>
        <item x="21"/>
        <item x="22"/>
        <item x="26"/>
        <item x="23"/>
        <item x="27"/>
        <item x="24"/>
        <item x="25"/>
        <item t="default"/>
      </items>
    </pivotField>
    <pivotField showAll="0"/>
    <pivotField showAll="0"/>
    <pivotField showAll="0"/>
    <pivotField axis="axisRow" showAll="0">
      <items count="17">
        <item x="7"/>
        <item x="13"/>
        <item x="6"/>
        <item x="8"/>
        <item x="9"/>
        <item x="11"/>
        <item x="10"/>
        <item x="5"/>
        <item x="4"/>
        <item x="14"/>
        <item x="15"/>
        <item x="12"/>
        <item x="3"/>
        <item x="2"/>
        <item x="1"/>
        <item x="0"/>
        <item t="default"/>
      </items>
    </pivotField>
    <pivotField showAll="0"/>
    <pivotField dataField="1"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axis="axisRow" showAll="0">
      <items count="5">
        <item x="3"/>
        <item x="0"/>
        <item x="1"/>
        <item x="2"/>
        <item t="default"/>
      </items>
    </pivotField>
  </pivotFields>
  <rowFields count="2">
    <field x="13"/>
    <field x="8"/>
  </rowFields>
  <rowItems count="21">
    <i>
      <x/>
    </i>
    <i r="1">
      <x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11"/>
    </i>
    <i r="1">
      <x v="12"/>
    </i>
    <i r="1">
      <x v="13"/>
    </i>
    <i r="1">
      <x v="14"/>
    </i>
    <i r="1">
      <x v="15"/>
    </i>
    <i>
      <x v="1"/>
    </i>
    <i r="1">
      <x v="1"/>
    </i>
    <i>
      <x v="2"/>
    </i>
    <i r="1">
      <x v="9"/>
    </i>
    <i>
      <x v="3"/>
    </i>
    <i r="1">
      <x v="10"/>
    </i>
    <i t="grand">
      <x/>
    </i>
  </rowItems>
  <colItems count="1">
    <i/>
  </colItems>
  <dataFields count="1">
    <dataField name="Average of Sales USD" fld="10" subtotal="average" baseField="8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3927C07-72AD-450D-9244-F11244B3FAA5}" name="TSales2" displayName="TSales2" ref="A2:L107" totalsRowShown="0" headerRowDxfId="18" dataDxfId="16" headerRowBorderDxfId="17" tableBorderDxfId="15" totalsRowBorderDxfId="14">
  <autoFilter ref="A2:L107" xr:uid="{B3927C07-72AD-450D-9244-F11244B3FAA5}"/>
  <tableColumns count="12">
    <tableColumn id="1" xr3:uid="{8FF508AF-A4B1-4303-A717-709D017570C4}" name="Company" dataDxfId="13"/>
    <tableColumn id="2" xr3:uid="{CF301B5E-B633-4B57-B1D9-B68DD6B89DC4}" name="Company Name" dataDxfId="12"/>
    <tableColumn id="3" xr3:uid="{8AE0B328-BF2A-4594-8295-3E28B8ADA716}" name="Region" dataDxfId="11"/>
    <tableColumn id="4" xr3:uid="{CE92F8AE-EF89-4726-9FB6-D3B87DADFBDE}" name="Sales Document" dataDxfId="10"/>
    <tableColumn id="5" xr3:uid="{8A148EE5-F1F7-49CF-9569-EDE7168AD36C}" name="Document Date" dataDxfId="9"/>
    <tableColumn id="6" xr3:uid="{F473585C-8AC1-4D9B-B5BD-5C8F949193D6}" name="Customer Code" dataDxfId="8"/>
    <tableColumn id="7" xr3:uid="{C82EB0CF-E39F-47F7-ABA1-D7595ABD164A}" name="Customer Name" dataDxfId="7"/>
    <tableColumn id="8" xr3:uid="{22EBF275-AD47-4F61-841A-E664EF46DAF7}" name="Product Code" dataDxfId="6"/>
    <tableColumn id="9" xr3:uid="{588CEC0C-3CB4-48F9-A086-A9C32B067A15}" name="Product Description" dataDxfId="5"/>
    <tableColumn id="10" xr3:uid="{5EC74E3E-E918-4E84-A2C5-47D2FC9B5F03}" name="Quantity" dataDxfId="4"/>
    <tableColumn id="11" xr3:uid="{15BBA754-97E5-40E6-BC17-B9E9F5E92F78}" name="Sales USD" dataDxfId="3"/>
    <tableColumn id="12" xr3:uid="{57031A11-E016-40F8-BB3F-E27466E25C04}" name="Category" dataDxfId="2">
      <calculatedColumnFormula>IFERROR(LEFT(TSales2[[#This Row],[Product Description]], FIND(" ",TSales2[[#This Row],[Product Description]]&amp;" ")-1),TSales2[[#This Row],[Product Description]])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7AA1D68-6E48-450B-8218-72B16520126A}" name="ProductDocSums" displayName="ProductDocSums" ref="B3:B119" totalsRowShown="0" headerRowDxfId="1">
  <autoFilter ref="B3:B119" xr:uid="{27AA1D68-6E48-450B-8218-72B16520126A}"/>
  <tableColumns count="1">
    <tableColumn id="1" xr3:uid="{18A25BAF-6151-4AB4-95C4-698DC0011CA4}" name="Column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9.xml"/><Relationship Id="rId13" Type="http://schemas.openxmlformats.org/officeDocument/2006/relationships/pivotTable" Target="../pivotTables/pivotTable14.xml"/><Relationship Id="rId3" Type="http://schemas.openxmlformats.org/officeDocument/2006/relationships/pivotTable" Target="../pivotTables/pivotTable4.xml"/><Relationship Id="rId7" Type="http://schemas.openxmlformats.org/officeDocument/2006/relationships/pivotTable" Target="../pivotTables/pivotTable8.xml"/><Relationship Id="rId12" Type="http://schemas.openxmlformats.org/officeDocument/2006/relationships/pivotTable" Target="../pivotTables/pivotTable13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6" Type="http://schemas.openxmlformats.org/officeDocument/2006/relationships/pivotTable" Target="../pivotTables/pivotTable7.xml"/><Relationship Id="rId11" Type="http://schemas.openxmlformats.org/officeDocument/2006/relationships/pivotTable" Target="../pivotTables/pivotTable12.xml"/><Relationship Id="rId5" Type="http://schemas.openxmlformats.org/officeDocument/2006/relationships/pivotTable" Target="../pivotTables/pivotTable6.xml"/><Relationship Id="rId15" Type="http://schemas.openxmlformats.org/officeDocument/2006/relationships/pivotTable" Target="../pivotTables/pivotTable16.xml"/><Relationship Id="rId10" Type="http://schemas.openxmlformats.org/officeDocument/2006/relationships/pivotTable" Target="../pivotTables/pivotTable11.xml"/><Relationship Id="rId4" Type="http://schemas.openxmlformats.org/officeDocument/2006/relationships/pivotTable" Target="../pivotTables/pivotTable5.xml"/><Relationship Id="rId9" Type="http://schemas.openxmlformats.org/officeDocument/2006/relationships/pivotTable" Target="../pivotTables/pivotTable10.xml"/><Relationship Id="rId14" Type="http://schemas.openxmlformats.org/officeDocument/2006/relationships/pivotTable" Target="../pivotTables/pivotTable15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ivotTable" Target="../pivotTables/pivotTable18.xml"/><Relationship Id="rId1" Type="http://schemas.openxmlformats.org/officeDocument/2006/relationships/pivotTable" Target="../pivotTables/pivotTable1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A3828-A4B2-47B5-9316-2FD6D8966257}">
  <dimension ref="A1:O107"/>
  <sheetViews>
    <sheetView workbookViewId="0">
      <selection activeCell="M2" sqref="M2"/>
    </sheetView>
  </sheetViews>
  <sheetFormatPr defaultRowHeight="14.4" x14ac:dyDescent="0.3"/>
  <cols>
    <col min="1" max="1" width="13.5546875" bestFit="1" customWidth="1"/>
    <col min="2" max="2" width="13.6640625" bestFit="1" customWidth="1"/>
    <col min="3" max="3" width="11.33203125" bestFit="1" customWidth="1"/>
    <col min="4" max="5" width="12.44140625" bestFit="1" customWidth="1"/>
    <col min="6" max="7" width="12.88671875" bestFit="1" customWidth="1"/>
    <col min="8" max="8" width="12.109375" bestFit="1" customWidth="1"/>
    <col min="9" max="9" width="23.88671875" bestFit="1" customWidth="1"/>
    <col min="10" max="10" width="12.6640625" bestFit="1" customWidth="1"/>
    <col min="11" max="11" width="13.6640625" bestFit="1" customWidth="1"/>
    <col min="12" max="13" width="13.6640625" customWidth="1"/>
    <col min="14" max="14" width="22.33203125" bestFit="1" customWidth="1"/>
    <col min="15" max="15" width="15.6640625" bestFit="1" customWidth="1"/>
    <col min="16" max="17" width="10.6640625" bestFit="1" customWidth="1"/>
  </cols>
  <sheetData>
    <row r="1" spans="1:13" x14ac:dyDescent="0.3">
      <c r="M1" s="16"/>
    </row>
    <row r="2" spans="1:13" ht="28.8" x14ac:dyDescent="0.3">
      <c r="A2" s="1" t="s">
        <v>0</v>
      </c>
      <c r="B2" s="2" t="s">
        <v>1</v>
      </c>
      <c r="C2" s="3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3" t="s">
        <v>8</v>
      </c>
      <c r="J2" s="3" t="s">
        <v>9</v>
      </c>
      <c r="K2" s="4" t="s">
        <v>10</v>
      </c>
      <c r="L2" s="19" t="s">
        <v>68</v>
      </c>
      <c r="M2" s="16"/>
    </row>
    <row r="3" spans="1:13" x14ac:dyDescent="0.3">
      <c r="A3" s="5" t="s">
        <v>11</v>
      </c>
      <c r="B3" s="6" t="s">
        <v>12</v>
      </c>
      <c r="C3" s="6" t="s">
        <v>13</v>
      </c>
      <c r="D3" s="6">
        <v>66030</v>
      </c>
      <c r="E3" s="7">
        <v>43983</v>
      </c>
      <c r="F3" s="6">
        <v>8010</v>
      </c>
      <c r="G3" s="6" t="s">
        <v>14</v>
      </c>
      <c r="H3" s="6">
        <v>103</v>
      </c>
      <c r="I3" s="6" t="s">
        <v>15</v>
      </c>
      <c r="J3" s="6">
        <v>120</v>
      </c>
      <c r="K3" s="8">
        <v>1440</v>
      </c>
      <c r="L3" s="18" t="str">
        <f>IFERROR(LEFT(TSales2[[#This Row],[Product Description]], FIND(" ",TSales2[[#This Row],[Product Description]]&amp;" ")-1),TSales2[[#This Row],[Product Description]])</f>
        <v>Women</v>
      </c>
    </row>
    <row r="4" spans="1:13" x14ac:dyDescent="0.3">
      <c r="A4" s="5" t="s">
        <v>11</v>
      </c>
      <c r="B4" s="6" t="s">
        <v>12</v>
      </c>
      <c r="C4" s="6" t="s">
        <v>13</v>
      </c>
      <c r="D4" s="6">
        <v>66030</v>
      </c>
      <c r="E4" s="7">
        <v>43984</v>
      </c>
      <c r="F4" s="6">
        <v>8010</v>
      </c>
      <c r="G4" s="6" t="s">
        <v>14</v>
      </c>
      <c r="H4" s="6">
        <v>104</v>
      </c>
      <c r="I4" s="6" t="s">
        <v>17</v>
      </c>
      <c r="J4" s="6">
        <v>150</v>
      </c>
      <c r="K4" s="8">
        <v>1800</v>
      </c>
      <c r="L4" s="6" t="str">
        <f>IFERROR(LEFT(TSales2[[#This Row],[Product Description]], FIND(" ",TSales2[[#This Row],[Product Description]]&amp;" ")-1),TSales2[[#This Row],[Product Description]])</f>
        <v>Women</v>
      </c>
    </row>
    <row r="5" spans="1:13" x14ac:dyDescent="0.3">
      <c r="A5" s="5" t="s">
        <v>11</v>
      </c>
      <c r="B5" s="6" t="s">
        <v>12</v>
      </c>
      <c r="C5" s="6" t="s">
        <v>13</v>
      </c>
      <c r="D5" s="6">
        <v>66032</v>
      </c>
      <c r="E5" s="7">
        <v>43983</v>
      </c>
      <c r="F5" s="6">
        <v>8010</v>
      </c>
      <c r="G5" s="6" t="s">
        <v>14</v>
      </c>
      <c r="H5" s="6">
        <v>103</v>
      </c>
      <c r="I5" s="6" t="s">
        <v>15</v>
      </c>
      <c r="J5" s="6">
        <v>170</v>
      </c>
      <c r="K5" s="8">
        <v>2040</v>
      </c>
      <c r="L5" s="6" t="str">
        <f>IFERROR(LEFT(TSales2[[#This Row],[Product Description]], FIND(" ",TSales2[[#This Row],[Product Description]]&amp;" ")-1),TSales2[[#This Row],[Product Description]])</f>
        <v>Women</v>
      </c>
    </row>
    <row r="6" spans="1:13" x14ac:dyDescent="0.3">
      <c r="A6" s="5" t="s">
        <v>11</v>
      </c>
      <c r="B6" s="6" t="s">
        <v>12</v>
      </c>
      <c r="C6" s="6" t="s">
        <v>13</v>
      </c>
      <c r="D6" s="6">
        <v>66032</v>
      </c>
      <c r="E6" s="7">
        <v>43984</v>
      </c>
      <c r="F6" s="6">
        <v>8010</v>
      </c>
      <c r="G6" s="6" t="s">
        <v>14</v>
      </c>
      <c r="H6" s="6">
        <v>104</v>
      </c>
      <c r="I6" s="6" t="s">
        <v>17</v>
      </c>
      <c r="J6" s="6">
        <v>140</v>
      </c>
      <c r="K6" s="8">
        <v>1680</v>
      </c>
      <c r="L6" s="6" t="str">
        <f>IFERROR(LEFT(TSales2[[#This Row],[Product Description]], FIND(" ",TSales2[[#This Row],[Product Description]]&amp;" ")-1),TSales2[[#This Row],[Product Description]])</f>
        <v>Women</v>
      </c>
    </row>
    <row r="7" spans="1:13" x14ac:dyDescent="0.3">
      <c r="A7" s="5" t="s">
        <v>11</v>
      </c>
      <c r="B7" s="6" t="s">
        <v>12</v>
      </c>
      <c r="C7" s="6" t="s">
        <v>13</v>
      </c>
      <c r="D7" s="6">
        <v>66031</v>
      </c>
      <c r="E7" s="7">
        <v>43983</v>
      </c>
      <c r="F7" s="6">
        <v>8020</v>
      </c>
      <c r="G7" s="6" t="s">
        <v>21</v>
      </c>
      <c r="H7" s="6">
        <v>103</v>
      </c>
      <c r="I7" s="6" t="s">
        <v>15</v>
      </c>
      <c r="J7" s="6">
        <v>140</v>
      </c>
      <c r="K7" s="8">
        <v>1680</v>
      </c>
      <c r="L7" s="6" t="str">
        <f>IFERROR(LEFT(TSales2[[#This Row],[Product Description]], FIND(" ",TSales2[[#This Row],[Product Description]]&amp;" ")-1),TSales2[[#This Row],[Product Description]])</f>
        <v>Women</v>
      </c>
    </row>
    <row r="8" spans="1:13" x14ac:dyDescent="0.3">
      <c r="A8" s="5" t="s">
        <v>11</v>
      </c>
      <c r="B8" s="6" t="s">
        <v>12</v>
      </c>
      <c r="C8" s="6" t="s">
        <v>13</v>
      </c>
      <c r="D8" s="6">
        <v>66031</v>
      </c>
      <c r="E8" s="7">
        <v>43984</v>
      </c>
      <c r="F8" s="6">
        <v>8020</v>
      </c>
      <c r="G8" s="6" t="s">
        <v>21</v>
      </c>
      <c r="H8" s="6">
        <v>104</v>
      </c>
      <c r="I8" s="6" t="s">
        <v>17</v>
      </c>
      <c r="J8" s="6">
        <v>150</v>
      </c>
      <c r="K8" s="8">
        <v>1800</v>
      </c>
      <c r="L8" s="6" t="str">
        <f>IFERROR(LEFT(TSales2[[#This Row],[Product Description]], FIND(" ",TSales2[[#This Row],[Product Description]]&amp;" ")-1),TSales2[[#This Row],[Product Description]])</f>
        <v>Women</v>
      </c>
    </row>
    <row r="9" spans="1:13" x14ac:dyDescent="0.3">
      <c r="A9" s="5" t="s">
        <v>11</v>
      </c>
      <c r="B9" s="6" t="s">
        <v>12</v>
      </c>
      <c r="C9" s="6" t="s">
        <v>13</v>
      </c>
      <c r="D9" s="6">
        <v>66031</v>
      </c>
      <c r="E9" s="7">
        <v>43989</v>
      </c>
      <c r="F9" s="6">
        <v>8020</v>
      </c>
      <c r="G9" s="6" t="s">
        <v>21</v>
      </c>
      <c r="H9" s="6">
        <v>105</v>
      </c>
      <c r="I9" s="6" t="s">
        <v>24</v>
      </c>
      <c r="J9" s="6">
        <v>100</v>
      </c>
      <c r="K9" s="8">
        <v>1000</v>
      </c>
      <c r="L9" s="6" t="str">
        <f>IFERROR(LEFT(TSales2[[#This Row],[Product Description]], FIND(" ",TSales2[[#This Row],[Product Description]]&amp;" ")-1),TSales2[[#This Row],[Product Description]])</f>
        <v>Women</v>
      </c>
    </row>
    <row r="10" spans="1:13" x14ac:dyDescent="0.3">
      <c r="A10" s="5" t="s">
        <v>11</v>
      </c>
      <c r="B10" s="6" t="s">
        <v>12</v>
      </c>
      <c r="C10" s="6" t="s">
        <v>13</v>
      </c>
      <c r="D10" s="6">
        <v>68112</v>
      </c>
      <c r="E10" s="7">
        <v>43990</v>
      </c>
      <c r="F10" s="6">
        <v>8010</v>
      </c>
      <c r="G10" s="6" t="s">
        <v>14</v>
      </c>
      <c r="H10" s="6">
        <v>104</v>
      </c>
      <c r="I10" s="6" t="s">
        <v>17</v>
      </c>
      <c r="J10" s="6">
        <v>180</v>
      </c>
      <c r="K10" s="8">
        <v>2160</v>
      </c>
      <c r="L10" s="6" t="str">
        <f>IFERROR(LEFT(TSales2[[#This Row],[Product Description]], FIND(" ",TSales2[[#This Row],[Product Description]]&amp;" ")-1),TSales2[[#This Row],[Product Description]])</f>
        <v>Women</v>
      </c>
    </row>
    <row r="11" spans="1:13" x14ac:dyDescent="0.3">
      <c r="A11" s="5" t="s">
        <v>11</v>
      </c>
      <c r="B11" s="6" t="s">
        <v>12</v>
      </c>
      <c r="C11" s="6" t="s">
        <v>13</v>
      </c>
      <c r="D11" s="6">
        <v>68112</v>
      </c>
      <c r="E11" s="7">
        <v>43991</v>
      </c>
      <c r="F11" s="6">
        <v>8010</v>
      </c>
      <c r="G11" s="6" t="s">
        <v>14</v>
      </c>
      <c r="H11" s="6">
        <v>105</v>
      </c>
      <c r="I11" s="6" t="s">
        <v>24</v>
      </c>
      <c r="J11" s="6">
        <v>120</v>
      </c>
      <c r="K11" s="8">
        <v>1200</v>
      </c>
      <c r="L11" s="6" t="str">
        <f>IFERROR(LEFT(TSales2[[#This Row],[Product Description]], FIND(" ",TSales2[[#This Row],[Product Description]]&amp;" ")-1),TSales2[[#This Row],[Product Description]])</f>
        <v>Women</v>
      </c>
    </row>
    <row r="12" spans="1:13" x14ac:dyDescent="0.3">
      <c r="A12" s="5" t="s">
        <v>11</v>
      </c>
      <c r="B12" s="6" t="s">
        <v>12</v>
      </c>
      <c r="C12" s="6" t="s">
        <v>13</v>
      </c>
      <c r="D12" s="6">
        <v>68116</v>
      </c>
      <c r="E12" s="7">
        <v>43992</v>
      </c>
      <c r="F12" s="6">
        <v>8020</v>
      </c>
      <c r="G12" s="6" t="s">
        <v>21</v>
      </c>
      <c r="H12" s="6">
        <v>104</v>
      </c>
      <c r="I12" s="6" t="s">
        <v>17</v>
      </c>
      <c r="J12" s="6">
        <v>150</v>
      </c>
      <c r="K12" s="8">
        <v>1800</v>
      </c>
      <c r="L12" s="6" t="str">
        <f>IFERROR(LEFT(TSales2[[#This Row],[Product Description]], FIND(" ",TSales2[[#This Row],[Product Description]]&amp;" ")-1),TSales2[[#This Row],[Product Description]])</f>
        <v>Women</v>
      </c>
    </row>
    <row r="13" spans="1:13" x14ac:dyDescent="0.3">
      <c r="A13" s="5" t="s">
        <v>11</v>
      </c>
      <c r="B13" s="6" t="s">
        <v>12</v>
      </c>
      <c r="C13" s="6" t="s">
        <v>13</v>
      </c>
      <c r="D13" s="6">
        <v>68116</v>
      </c>
      <c r="E13" s="7">
        <v>43993</v>
      </c>
      <c r="F13" s="6">
        <v>8020</v>
      </c>
      <c r="G13" s="6" t="s">
        <v>21</v>
      </c>
      <c r="H13" s="6">
        <v>105</v>
      </c>
      <c r="I13" s="6" t="s">
        <v>24</v>
      </c>
      <c r="J13" s="6">
        <v>190</v>
      </c>
      <c r="K13" s="8">
        <v>1900</v>
      </c>
      <c r="L13" s="6" t="str">
        <f>IFERROR(LEFT(TSales2[[#This Row],[Product Description]], FIND(" ",TSales2[[#This Row],[Product Description]]&amp;" ")-1),TSales2[[#This Row],[Product Description]])</f>
        <v>Women</v>
      </c>
    </row>
    <row r="14" spans="1:13" x14ac:dyDescent="0.3">
      <c r="A14" s="5" t="s">
        <v>11</v>
      </c>
      <c r="B14" s="6" t="s">
        <v>12</v>
      </c>
      <c r="C14" s="6" t="s">
        <v>13</v>
      </c>
      <c r="D14" s="6">
        <v>68116</v>
      </c>
      <c r="E14" s="7">
        <v>43994</v>
      </c>
      <c r="F14" s="6">
        <v>8020</v>
      </c>
      <c r="G14" s="6" t="s">
        <v>21</v>
      </c>
      <c r="H14" s="6">
        <v>107</v>
      </c>
      <c r="I14" s="6" t="s">
        <v>30</v>
      </c>
      <c r="J14" s="6">
        <v>160</v>
      </c>
      <c r="K14" s="8">
        <v>800</v>
      </c>
      <c r="L14" s="6" t="str">
        <f>IFERROR(LEFT(TSales2[[#This Row],[Product Description]], FIND(" ",TSales2[[#This Row],[Product Description]]&amp;" ")-1),TSales2[[#This Row],[Product Description]])</f>
        <v>Women</v>
      </c>
    </row>
    <row r="15" spans="1:13" x14ac:dyDescent="0.3">
      <c r="A15" s="5" t="s">
        <v>11</v>
      </c>
      <c r="B15" s="6" t="s">
        <v>12</v>
      </c>
      <c r="C15" s="6" t="s">
        <v>13</v>
      </c>
      <c r="D15" s="6">
        <v>68116</v>
      </c>
      <c r="E15" s="7">
        <v>43995</v>
      </c>
      <c r="F15" s="6">
        <v>8010</v>
      </c>
      <c r="G15" s="6" t="s">
        <v>14</v>
      </c>
      <c r="H15" s="6">
        <v>104</v>
      </c>
      <c r="I15" s="6" t="s">
        <v>17</v>
      </c>
      <c r="J15" s="6">
        <v>160</v>
      </c>
      <c r="K15" s="8">
        <v>1920</v>
      </c>
      <c r="L15" s="6" t="str">
        <f>IFERROR(LEFT(TSales2[[#This Row],[Product Description]], FIND(" ",TSales2[[#This Row],[Product Description]]&amp;" ")-1),TSales2[[#This Row],[Product Description]])</f>
        <v>Women</v>
      </c>
    </row>
    <row r="16" spans="1:13" x14ac:dyDescent="0.3">
      <c r="A16" s="5" t="s">
        <v>11</v>
      </c>
      <c r="B16" s="6" t="s">
        <v>12</v>
      </c>
      <c r="C16" s="6" t="s">
        <v>13</v>
      </c>
      <c r="D16" s="6">
        <v>68116</v>
      </c>
      <c r="E16" s="7">
        <v>43996</v>
      </c>
      <c r="F16" s="6">
        <v>8010</v>
      </c>
      <c r="G16" s="6" t="s">
        <v>14</v>
      </c>
      <c r="H16" s="6">
        <v>105</v>
      </c>
      <c r="I16" s="6" t="s">
        <v>24</v>
      </c>
      <c r="J16" s="6">
        <v>190</v>
      </c>
      <c r="K16" s="8">
        <v>1900</v>
      </c>
      <c r="L16" s="6" t="str">
        <f>IFERROR(LEFT(TSales2[[#This Row],[Product Description]], FIND(" ",TSales2[[#This Row],[Product Description]]&amp;" ")-1),TSales2[[#This Row],[Product Description]])</f>
        <v>Women</v>
      </c>
    </row>
    <row r="17" spans="1:15" x14ac:dyDescent="0.3">
      <c r="A17" s="5" t="s">
        <v>11</v>
      </c>
      <c r="B17" s="6" t="s">
        <v>12</v>
      </c>
      <c r="C17" s="6" t="s">
        <v>13</v>
      </c>
      <c r="D17" s="6">
        <v>65662</v>
      </c>
      <c r="E17" s="7">
        <v>43997</v>
      </c>
      <c r="F17" s="6">
        <v>8020</v>
      </c>
      <c r="G17" s="6" t="s">
        <v>21</v>
      </c>
      <c r="H17" s="6">
        <v>103</v>
      </c>
      <c r="I17" s="6" t="s">
        <v>15</v>
      </c>
      <c r="J17" s="6">
        <v>120</v>
      </c>
      <c r="K17" s="8">
        <v>1440</v>
      </c>
      <c r="L17" s="6" t="str">
        <f>IFERROR(LEFT(TSales2[[#This Row],[Product Description]], FIND(" ",TSales2[[#This Row],[Product Description]]&amp;" ")-1),TSales2[[#This Row],[Product Description]])</f>
        <v>Women</v>
      </c>
    </row>
    <row r="18" spans="1:15" x14ac:dyDescent="0.3">
      <c r="A18" s="5" t="s">
        <v>11</v>
      </c>
      <c r="B18" s="6" t="s">
        <v>12</v>
      </c>
      <c r="C18" s="6" t="s">
        <v>13</v>
      </c>
      <c r="D18" s="6">
        <v>65662</v>
      </c>
      <c r="E18" s="7">
        <v>43998</v>
      </c>
      <c r="F18" s="6">
        <v>8020</v>
      </c>
      <c r="G18" s="6" t="s">
        <v>21</v>
      </c>
      <c r="H18" s="6">
        <v>104</v>
      </c>
      <c r="I18" s="6" t="s">
        <v>17</v>
      </c>
      <c r="J18" s="6">
        <v>110</v>
      </c>
      <c r="K18" s="8">
        <v>1320</v>
      </c>
      <c r="L18" s="6" t="str">
        <f>IFERROR(LEFT(TSales2[[#This Row],[Product Description]], FIND(" ",TSales2[[#This Row],[Product Description]]&amp;" ")-1),TSales2[[#This Row],[Product Description]])</f>
        <v>Women</v>
      </c>
      <c r="M18" s="16"/>
    </row>
    <row r="19" spans="1:15" x14ac:dyDescent="0.3">
      <c r="A19" s="5" t="s">
        <v>11</v>
      </c>
      <c r="B19" s="6" t="s">
        <v>12</v>
      </c>
      <c r="C19" s="6" t="s">
        <v>13</v>
      </c>
      <c r="D19" s="6">
        <v>65666</v>
      </c>
      <c r="E19" s="7">
        <v>43984</v>
      </c>
      <c r="F19" s="6">
        <v>8010</v>
      </c>
      <c r="G19" s="6" t="s">
        <v>14</v>
      </c>
      <c r="H19" s="6">
        <v>103</v>
      </c>
      <c r="I19" s="6" t="s">
        <v>15</v>
      </c>
      <c r="J19" s="6">
        <v>120</v>
      </c>
      <c r="K19" s="8">
        <v>1440</v>
      </c>
      <c r="L19" s="6" t="str">
        <f>IFERROR(LEFT(TSales2[[#This Row],[Product Description]], FIND(" ",TSales2[[#This Row],[Product Description]]&amp;" ")-1),TSales2[[#This Row],[Product Description]])</f>
        <v>Women</v>
      </c>
      <c r="M19" s="16"/>
    </row>
    <row r="20" spans="1:15" x14ac:dyDescent="0.3">
      <c r="A20" s="5" t="s">
        <v>11</v>
      </c>
      <c r="B20" s="6" t="s">
        <v>12</v>
      </c>
      <c r="C20" s="6" t="s">
        <v>13</v>
      </c>
      <c r="D20" s="6">
        <v>65666</v>
      </c>
      <c r="E20" s="7">
        <v>43985</v>
      </c>
      <c r="F20" s="6">
        <v>8010</v>
      </c>
      <c r="G20" s="6" t="s">
        <v>14</v>
      </c>
      <c r="H20" s="6">
        <v>104</v>
      </c>
      <c r="I20" s="6" t="s">
        <v>17</v>
      </c>
      <c r="J20" s="6">
        <v>140</v>
      </c>
      <c r="K20" s="8">
        <v>1680</v>
      </c>
      <c r="L20" s="6" t="str">
        <f>IFERROR(LEFT(TSales2[[#This Row],[Product Description]], FIND(" ",TSales2[[#This Row],[Product Description]]&amp;" ")-1),TSales2[[#This Row],[Product Description]])</f>
        <v>Women</v>
      </c>
      <c r="M20" s="16"/>
      <c r="N20" s="15" t="s">
        <v>35</v>
      </c>
      <c r="O20" t="s">
        <v>36</v>
      </c>
    </row>
    <row r="21" spans="1:15" x14ac:dyDescent="0.3">
      <c r="A21" s="5" t="s">
        <v>11</v>
      </c>
      <c r="B21" s="6" t="s">
        <v>12</v>
      </c>
      <c r="C21" s="6" t="s">
        <v>13</v>
      </c>
      <c r="D21" s="6">
        <v>65666</v>
      </c>
      <c r="E21" s="7">
        <v>43986</v>
      </c>
      <c r="F21" s="6">
        <v>8010</v>
      </c>
      <c r="G21" s="6" t="s">
        <v>14</v>
      </c>
      <c r="H21" s="6">
        <v>105</v>
      </c>
      <c r="I21" s="6" t="s">
        <v>24</v>
      </c>
      <c r="J21" s="6">
        <v>160</v>
      </c>
      <c r="K21" s="8">
        <v>1600</v>
      </c>
      <c r="L21" s="6" t="str">
        <f>IFERROR(LEFT(TSales2[[#This Row],[Product Description]], FIND(" ",TSales2[[#This Row],[Product Description]]&amp;" ")-1),TSales2[[#This Row],[Product Description]])</f>
        <v>Women</v>
      </c>
      <c r="M21" s="16"/>
      <c r="N21" s="9" t="s">
        <v>24</v>
      </c>
      <c r="O21">
        <v>14300</v>
      </c>
    </row>
    <row r="22" spans="1:15" x14ac:dyDescent="0.3">
      <c r="A22" s="5" t="s">
        <v>11</v>
      </c>
      <c r="B22" s="6" t="s">
        <v>12</v>
      </c>
      <c r="C22" s="6" t="s">
        <v>13</v>
      </c>
      <c r="D22" s="6">
        <v>65666</v>
      </c>
      <c r="E22" s="7">
        <v>43987</v>
      </c>
      <c r="F22" s="6">
        <v>8020</v>
      </c>
      <c r="G22" s="6" t="s">
        <v>21</v>
      </c>
      <c r="H22" s="6">
        <v>107</v>
      </c>
      <c r="I22" s="6" t="s">
        <v>30</v>
      </c>
      <c r="J22" s="6">
        <v>120</v>
      </c>
      <c r="K22" s="8">
        <v>600</v>
      </c>
      <c r="L22" s="6" t="str">
        <f>IFERROR(LEFT(TSales2[[#This Row],[Product Description]], FIND(" ",TSales2[[#This Row],[Product Description]]&amp;" ")-1),TSales2[[#This Row],[Product Description]])</f>
        <v>Women</v>
      </c>
      <c r="M22" s="16"/>
      <c r="N22" s="10">
        <v>43986</v>
      </c>
      <c r="O22">
        <v>1600</v>
      </c>
    </row>
    <row r="23" spans="1:15" x14ac:dyDescent="0.3">
      <c r="A23" s="5" t="s">
        <v>11</v>
      </c>
      <c r="B23" s="6" t="s">
        <v>12</v>
      </c>
      <c r="C23" s="6" t="s">
        <v>13</v>
      </c>
      <c r="D23" s="6">
        <v>65666</v>
      </c>
      <c r="E23" s="7">
        <v>43988</v>
      </c>
      <c r="F23" s="6">
        <v>8020</v>
      </c>
      <c r="G23" s="6" t="s">
        <v>21</v>
      </c>
      <c r="H23" s="6">
        <v>103</v>
      </c>
      <c r="I23" s="6" t="s">
        <v>15</v>
      </c>
      <c r="J23" s="6">
        <v>200</v>
      </c>
      <c r="K23" s="8">
        <v>2400</v>
      </c>
      <c r="L23" s="6" t="str">
        <f>IFERROR(LEFT(TSales2[[#This Row],[Product Description]], FIND(" ",TSales2[[#This Row],[Product Description]]&amp;" ")-1),TSales2[[#This Row],[Product Description]])</f>
        <v>Women</v>
      </c>
      <c r="M23" s="16"/>
      <c r="N23" s="10">
        <v>43989</v>
      </c>
      <c r="O23">
        <v>1000</v>
      </c>
    </row>
    <row r="24" spans="1:15" x14ac:dyDescent="0.3">
      <c r="A24" s="5" t="s">
        <v>11</v>
      </c>
      <c r="B24" s="6" t="s">
        <v>12</v>
      </c>
      <c r="C24" s="6" t="s">
        <v>13</v>
      </c>
      <c r="D24" s="6">
        <v>66015</v>
      </c>
      <c r="E24" s="7">
        <v>43992</v>
      </c>
      <c r="F24" s="6">
        <v>8010</v>
      </c>
      <c r="G24" s="6" t="s">
        <v>14</v>
      </c>
      <c r="H24" s="6">
        <v>103</v>
      </c>
      <c r="I24" s="6" t="s">
        <v>15</v>
      </c>
      <c r="J24" s="6">
        <v>140</v>
      </c>
      <c r="K24" s="8">
        <v>1680</v>
      </c>
      <c r="L24" s="6" t="str">
        <f>IFERROR(LEFT(TSales2[[#This Row],[Product Description]], FIND(" ",TSales2[[#This Row],[Product Description]]&amp;" ")-1),TSales2[[#This Row],[Product Description]])</f>
        <v>Women</v>
      </c>
      <c r="M24" s="16"/>
      <c r="N24" s="10">
        <v>43991</v>
      </c>
      <c r="O24">
        <v>1200</v>
      </c>
    </row>
    <row r="25" spans="1:15" x14ac:dyDescent="0.3">
      <c r="A25" s="5" t="s">
        <v>11</v>
      </c>
      <c r="B25" s="6" t="s">
        <v>12</v>
      </c>
      <c r="C25" s="6" t="s">
        <v>13</v>
      </c>
      <c r="D25" s="6">
        <v>66015</v>
      </c>
      <c r="E25" s="7">
        <v>43993</v>
      </c>
      <c r="F25" s="6">
        <v>8010</v>
      </c>
      <c r="G25" s="6" t="s">
        <v>14</v>
      </c>
      <c r="H25" s="6">
        <v>104</v>
      </c>
      <c r="I25" s="6" t="s">
        <v>17</v>
      </c>
      <c r="J25" s="6">
        <v>140</v>
      </c>
      <c r="K25" s="8">
        <v>1680</v>
      </c>
      <c r="L25" s="6" t="str">
        <f>IFERROR(LEFT(TSales2[[#This Row],[Product Description]], FIND(" ",TSales2[[#This Row],[Product Description]]&amp;" ")-1),TSales2[[#This Row],[Product Description]])</f>
        <v>Women</v>
      </c>
      <c r="M25" s="16"/>
      <c r="N25" s="10">
        <v>43993</v>
      </c>
      <c r="O25">
        <v>1900</v>
      </c>
    </row>
    <row r="26" spans="1:15" x14ac:dyDescent="0.3">
      <c r="A26" s="5" t="s">
        <v>11</v>
      </c>
      <c r="B26" s="6" t="s">
        <v>12</v>
      </c>
      <c r="C26" s="6" t="s">
        <v>13</v>
      </c>
      <c r="D26" s="6">
        <v>66017</v>
      </c>
      <c r="E26" s="7">
        <v>43994</v>
      </c>
      <c r="F26" s="6">
        <v>8010</v>
      </c>
      <c r="G26" s="6" t="s">
        <v>14</v>
      </c>
      <c r="H26" s="6">
        <v>103</v>
      </c>
      <c r="I26" s="6" t="s">
        <v>15</v>
      </c>
      <c r="J26" s="6">
        <v>140</v>
      </c>
      <c r="K26" s="8">
        <v>1680</v>
      </c>
      <c r="L26" s="6" t="str">
        <f>IFERROR(LEFT(TSales2[[#This Row],[Product Description]], FIND(" ",TSales2[[#This Row],[Product Description]]&amp;" ")-1),TSales2[[#This Row],[Product Description]])</f>
        <v>Women</v>
      </c>
      <c r="M26" s="16"/>
      <c r="N26" s="10">
        <v>43996</v>
      </c>
      <c r="O26">
        <v>1900</v>
      </c>
    </row>
    <row r="27" spans="1:15" x14ac:dyDescent="0.3">
      <c r="A27" s="5" t="s">
        <v>11</v>
      </c>
      <c r="B27" s="6" t="s">
        <v>12</v>
      </c>
      <c r="C27" s="6" t="s">
        <v>13</v>
      </c>
      <c r="D27" s="6">
        <v>66017</v>
      </c>
      <c r="E27" s="7">
        <v>43995</v>
      </c>
      <c r="F27" s="6">
        <v>8010</v>
      </c>
      <c r="G27" s="6" t="s">
        <v>14</v>
      </c>
      <c r="H27" s="6">
        <v>104</v>
      </c>
      <c r="I27" s="6" t="s">
        <v>17</v>
      </c>
      <c r="J27" s="6">
        <v>140</v>
      </c>
      <c r="K27" s="8">
        <v>1680</v>
      </c>
      <c r="L27" s="6" t="str">
        <f>IFERROR(LEFT(TSales2[[#This Row],[Product Description]], FIND(" ",TSales2[[#This Row],[Product Description]]&amp;" ")-1),TSales2[[#This Row],[Product Description]])</f>
        <v>Women</v>
      </c>
      <c r="M27" s="16"/>
      <c r="N27" s="10">
        <v>43998</v>
      </c>
      <c r="O27">
        <v>2600</v>
      </c>
    </row>
    <row r="28" spans="1:15" x14ac:dyDescent="0.3">
      <c r="A28" s="5" t="s">
        <v>11</v>
      </c>
      <c r="B28" s="6" t="s">
        <v>12</v>
      </c>
      <c r="C28" s="6" t="s">
        <v>13</v>
      </c>
      <c r="D28" s="6">
        <v>66016</v>
      </c>
      <c r="E28" s="7">
        <v>43996</v>
      </c>
      <c r="F28" s="6">
        <v>8020</v>
      </c>
      <c r="G28" s="6" t="s">
        <v>21</v>
      </c>
      <c r="H28" s="6">
        <v>103</v>
      </c>
      <c r="I28" s="6" t="s">
        <v>15</v>
      </c>
      <c r="J28" s="6">
        <v>120</v>
      </c>
      <c r="K28" s="8">
        <v>1440</v>
      </c>
      <c r="L28" s="6" t="str">
        <f>IFERROR(LEFT(TSales2[[#This Row],[Product Description]], FIND(" ",TSales2[[#This Row],[Product Description]]&amp;" ")-1),TSales2[[#This Row],[Product Description]])</f>
        <v>Women</v>
      </c>
      <c r="M28" s="16"/>
      <c r="N28" s="10">
        <v>44000</v>
      </c>
      <c r="O28">
        <v>1300</v>
      </c>
    </row>
    <row r="29" spans="1:15" x14ac:dyDescent="0.3">
      <c r="A29" s="5" t="s">
        <v>11</v>
      </c>
      <c r="B29" s="6" t="s">
        <v>12</v>
      </c>
      <c r="C29" s="6" t="s">
        <v>13</v>
      </c>
      <c r="D29" s="6">
        <v>66016</v>
      </c>
      <c r="E29" s="7">
        <v>43997</v>
      </c>
      <c r="F29" s="6">
        <v>8020</v>
      </c>
      <c r="G29" s="6" t="s">
        <v>21</v>
      </c>
      <c r="H29" s="6">
        <v>104</v>
      </c>
      <c r="I29" s="6" t="s">
        <v>17</v>
      </c>
      <c r="J29" s="6">
        <v>130</v>
      </c>
      <c r="K29" s="8">
        <v>1560</v>
      </c>
      <c r="L29" s="6" t="str">
        <f>IFERROR(LEFT(TSales2[[#This Row],[Product Description]], FIND(" ",TSales2[[#This Row],[Product Description]]&amp;" ")-1),TSales2[[#This Row],[Product Description]])</f>
        <v>Women</v>
      </c>
      <c r="M29" s="16"/>
      <c r="N29" s="10">
        <v>44002</v>
      </c>
      <c r="O29">
        <v>1400</v>
      </c>
    </row>
    <row r="30" spans="1:15" x14ac:dyDescent="0.3">
      <c r="A30" s="5" t="s">
        <v>11</v>
      </c>
      <c r="B30" s="6" t="s">
        <v>12</v>
      </c>
      <c r="C30" s="6" t="s">
        <v>13</v>
      </c>
      <c r="D30" s="6">
        <v>66016</v>
      </c>
      <c r="E30" s="7">
        <v>43998</v>
      </c>
      <c r="F30" s="6">
        <v>8020</v>
      </c>
      <c r="G30" s="6" t="s">
        <v>21</v>
      </c>
      <c r="H30" s="6">
        <v>105</v>
      </c>
      <c r="I30" s="6" t="s">
        <v>24</v>
      </c>
      <c r="J30" s="6">
        <v>120</v>
      </c>
      <c r="K30" s="8">
        <v>1200</v>
      </c>
      <c r="L30" s="6" t="str">
        <f>IFERROR(LEFT(TSales2[[#This Row],[Product Description]], FIND(" ",TSales2[[#This Row],[Product Description]]&amp;" ")-1),TSales2[[#This Row],[Product Description]])</f>
        <v>Women</v>
      </c>
      <c r="M30" s="16"/>
      <c r="N30" s="10">
        <v>44003</v>
      </c>
      <c r="O30">
        <v>1400</v>
      </c>
    </row>
    <row r="31" spans="1:15" x14ac:dyDescent="0.3">
      <c r="A31" s="5" t="s">
        <v>11</v>
      </c>
      <c r="B31" s="6" t="s">
        <v>12</v>
      </c>
      <c r="C31" s="6" t="s">
        <v>13</v>
      </c>
      <c r="D31" s="6">
        <v>68097</v>
      </c>
      <c r="E31" s="7">
        <v>43999</v>
      </c>
      <c r="F31" s="6">
        <v>8010</v>
      </c>
      <c r="G31" s="6" t="s">
        <v>14</v>
      </c>
      <c r="H31" s="6">
        <v>104</v>
      </c>
      <c r="I31" s="6" t="s">
        <v>17</v>
      </c>
      <c r="J31" s="6">
        <v>140</v>
      </c>
      <c r="K31" s="8">
        <v>1680</v>
      </c>
      <c r="L31" s="6" t="str">
        <f>IFERROR(LEFT(TSales2[[#This Row],[Product Description]], FIND(" ",TSales2[[#This Row],[Product Description]]&amp;" ")-1),TSales2[[#This Row],[Product Description]])</f>
        <v>Women</v>
      </c>
      <c r="M31" s="16"/>
      <c r="N31" s="9" t="s">
        <v>37</v>
      </c>
      <c r="O31">
        <v>14300</v>
      </c>
    </row>
    <row r="32" spans="1:15" x14ac:dyDescent="0.3">
      <c r="A32" s="5" t="s">
        <v>11</v>
      </c>
      <c r="B32" s="6" t="s">
        <v>12</v>
      </c>
      <c r="C32" s="6" t="s">
        <v>13</v>
      </c>
      <c r="D32" s="6">
        <v>68097</v>
      </c>
      <c r="E32" s="7">
        <v>44000</v>
      </c>
      <c r="F32" s="6">
        <v>8010</v>
      </c>
      <c r="G32" s="6" t="s">
        <v>14</v>
      </c>
      <c r="H32" s="6">
        <v>105</v>
      </c>
      <c r="I32" s="6" t="s">
        <v>24</v>
      </c>
      <c r="J32" s="6">
        <v>130</v>
      </c>
      <c r="K32" s="8">
        <v>1300</v>
      </c>
      <c r="L32" s="6" t="str">
        <f>IFERROR(LEFT(TSales2[[#This Row],[Product Description]], FIND(" ",TSales2[[#This Row],[Product Description]]&amp;" ")-1),TSales2[[#This Row],[Product Description]])</f>
        <v>Women</v>
      </c>
      <c r="M32" s="16"/>
    </row>
    <row r="33" spans="1:13" x14ac:dyDescent="0.3">
      <c r="A33" s="5" t="s">
        <v>11</v>
      </c>
      <c r="B33" s="6" t="s">
        <v>12</v>
      </c>
      <c r="C33" s="6" t="s">
        <v>13</v>
      </c>
      <c r="D33" s="6">
        <v>68099</v>
      </c>
      <c r="E33" s="7">
        <v>44001</v>
      </c>
      <c r="F33" s="6">
        <v>8020</v>
      </c>
      <c r="G33" s="6" t="s">
        <v>21</v>
      </c>
      <c r="H33" s="6">
        <v>104</v>
      </c>
      <c r="I33" s="6" t="s">
        <v>17</v>
      </c>
      <c r="J33" s="6">
        <v>120</v>
      </c>
      <c r="K33" s="8">
        <v>1440</v>
      </c>
      <c r="L33" s="6" t="str">
        <f>IFERROR(LEFT(TSales2[[#This Row],[Product Description]], FIND(" ",TSales2[[#This Row],[Product Description]]&amp;" ")-1),TSales2[[#This Row],[Product Description]])</f>
        <v>Women</v>
      </c>
      <c r="M33" s="16"/>
    </row>
    <row r="34" spans="1:13" x14ac:dyDescent="0.3">
      <c r="A34" s="5" t="s">
        <v>11</v>
      </c>
      <c r="B34" s="6" t="s">
        <v>12</v>
      </c>
      <c r="C34" s="6" t="s">
        <v>13</v>
      </c>
      <c r="D34" s="6">
        <v>68099</v>
      </c>
      <c r="E34" s="7">
        <v>44002</v>
      </c>
      <c r="F34" s="6">
        <v>8020</v>
      </c>
      <c r="G34" s="6" t="s">
        <v>21</v>
      </c>
      <c r="H34" s="6">
        <v>105</v>
      </c>
      <c r="I34" s="6" t="s">
        <v>24</v>
      </c>
      <c r="J34" s="6">
        <v>140</v>
      </c>
      <c r="K34" s="8">
        <v>1400</v>
      </c>
      <c r="L34" s="6" t="str">
        <f>IFERROR(LEFT(TSales2[[#This Row],[Product Description]], FIND(" ",TSales2[[#This Row],[Product Description]]&amp;" ")-1),TSales2[[#This Row],[Product Description]])</f>
        <v>Women</v>
      </c>
      <c r="M34" s="16"/>
    </row>
    <row r="35" spans="1:13" x14ac:dyDescent="0.3">
      <c r="A35" s="5" t="s">
        <v>11</v>
      </c>
      <c r="B35" s="6" t="s">
        <v>12</v>
      </c>
      <c r="C35" s="6" t="s">
        <v>13</v>
      </c>
      <c r="D35" s="6">
        <v>68099</v>
      </c>
      <c r="E35" s="7">
        <v>44003</v>
      </c>
      <c r="F35" s="6">
        <v>8020</v>
      </c>
      <c r="G35" s="6" t="s">
        <v>21</v>
      </c>
      <c r="H35" s="6">
        <v>107</v>
      </c>
      <c r="I35" s="6" t="s">
        <v>30</v>
      </c>
      <c r="J35" s="6">
        <v>170</v>
      </c>
      <c r="K35" s="8">
        <v>850</v>
      </c>
      <c r="L35" s="6" t="str">
        <f>IFERROR(LEFT(TSales2[[#This Row],[Product Description]], FIND(" ",TSales2[[#This Row],[Product Description]]&amp;" ")-1),TSales2[[#This Row],[Product Description]])</f>
        <v>Women</v>
      </c>
      <c r="M35" s="16"/>
    </row>
    <row r="36" spans="1:13" x14ac:dyDescent="0.3">
      <c r="A36" s="5" t="s">
        <v>11</v>
      </c>
      <c r="B36" s="6" t="s">
        <v>12</v>
      </c>
      <c r="C36" s="6" t="s">
        <v>13</v>
      </c>
      <c r="D36" s="6">
        <v>68101</v>
      </c>
      <c r="E36" s="7">
        <v>43997</v>
      </c>
      <c r="F36" s="6">
        <v>8010</v>
      </c>
      <c r="G36" s="6" t="s">
        <v>14</v>
      </c>
      <c r="H36" s="6">
        <v>104</v>
      </c>
      <c r="I36" s="6" t="s">
        <v>17</v>
      </c>
      <c r="J36" s="6">
        <v>190</v>
      </c>
      <c r="K36" s="8">
        <v>2280</v>
      </c>
      <c r="L36" s="6" t="str">
        <f>IFERROR(LEFT(TSales2[[#This Row],[Product Description]], FIND(" ",TSales2[[#This Row],[Product Description]]&amp;" ")-1),TSales2[[#This Row],[Product Description]])</f>
        <v>Women</v>
      </c>
      <c r="M36" s="16"/>
    </row>
    <row r="37" spans="1:13" x14ac:dyDescent="0.3">
      <c r="A37" s="5" t="s">
        <v>11</v>
      </c>
      <c r="B37" s="6" t="s">
        <v>12</v>
      </c>
      <c r="C37" s="6" t="s">
        <v>13</v>
      </c>
      <c r="D37" s="6">
        <v>68101</v>
      </c>
      <c r="E37" s="7">
        <v>43998</v>
      </c>
      <c r="F37" s="6">
        <v>8010</v>
      </c>
      <c r="G37" s="6" t="s">
        <v>14</v>
      </c>
      <c r="H37" s="6">
        <v>105</v>
      </c>
      <c r="I37" s="6" t="s">
        <v>24</v>
      </c>
      <c r="J37" s="6">
        <v>140</v>
      </c>
      <c r="K37" s="8">
        <v>1400</v>
      </c>
      <c r="L37" s="6" t="str">
        <f>IFERROR(LEFT(TSales2[[#This Row],[Product Description]], FIND(" ",TSales2[[#This Row],[Product Description]]&amp;" ")-1),TSales2[[#This Row],[Product Description]])</f>
        <v>Women</v>
      </c>
      <c r="M37" s="16"/>
    </row>
    <row r="38" spans="1:13" x14ac:dyDescent="0.3">
      <c r="A38" s="5" t="s">
        <v>11</v>
      </c>
      <c r="B38" s="6" t="s">
        <v>12</v>
      </c>
      <c r="C38" s="6" t="s">
        <v>13</v>
      </c>
      <c r="D38" s="6">
        <v>65627</v>
      </c>
      <c r="E38" s="7">
        <v>43999</v>
      </c>
      <c r="F38" s="6">
        <v>8020</v>
      </c>
      <c r="G38" s="6" t="s">
        <v>21</v>
      </c>
      <c r="H38" s="6">
        <v>103</v>
      </c>
      <c r="I38" s="6" t="s">
        <v>15</v>
      </c>
      <c r="J38" s="6">
        <v>140</v>
      </c>
      <c r="K38" s="8">
        <v>1680</v>
      </c>
      <c r="L38" s="6" t="str">
        <f>IFERROR(LEFT(TSales2[[#This Row],[Product Description]], FIND(" ",TSales2[[#This Row],[Product Description]]&amp;" ")-1),TSales2[[#This Row],[Product Description]])</f>
        <v>Women</v>
      </c>
      <c r="M38" s="16"/>
    </row>
    <row r="39" spans="1:13" x14ac:dyDescent="0.3">
      <c r="A39" s="5" t="s">
        <v>11</v>
      </c>
      <c r="B39" s="6" t="s">
        <v>12</v>
      </c>
      <c r="C39" s="6" t="s">
        <v>13</v>
      </c>
      <c r="D39" s="6">
        <v>65627</v>
      </c>
      <c r="E39" s="7">
        <v>44000</v>
      </c>
      <c r="F39" s="6">
        <v>8020</v>
      </c>
      <c r="G39" s="6" t="s">
        <v>21</v>
      </c>
      <c r="H39" s="6">
        <v>104</v>
      </c>
      <c r="I39" s="6" t="s">
        <v>17</v>
      </c>
      <c r="J39" s="6">
        <v>160</v>
      </c>
      <c r="K39" s="8">
        <v>1920</v>
      </c>
      <c r="L39" s="6" t="str">
        <f>IFERROR(LEFT(TSales2[[#This Row],[Product Description]], FIND(" ",TSales2[[#This Row],[Product Description]]&amp;" ")-1),TSales2[[#This Row],[Product Description]])</f>
        <v>Women</v>
      </c>
      <c r="M39" s="16"/>
    </row>
    <row r="40" spans="1:13" x14ac:dyDescent="0.3">
      <c r="A40" s="5" t="s">
        <v>11</v>
      </c>
      <c r="B40" s="6" t="s">
        <v>12</v>
      </c>
      <c r="C40" s="6" t="s">
        <v>13</v>
      </c>
      <c r="D40" s="6">
        <v>65629</v>
      </c>
      <c r="E40" s="7">
        <v>44001</v>
      </c>
      <c r="F40" s="6">
        <v>8010</v>
      </c>
      <c r="G40" s="6" t="s">
        <v>14</v>
      </c>
      <c r="H40" s="6">
        <v>103</v>
      </c>
      <c r="I40" s="6" t="s">
        <v>15</v>
      </c>
      <c r="J40" s="6">
        <v>190</v>
      </c>
      <c r="K40" s="8">
        <v>2280</v>
      </c>
      <c r="L40" s="6" t="str">
        <f>IFERROR(LEFT(TSales2[[#This Row],[Product Description]], FIND(" ",TSales2[[#This Row],[Product Description]]&amp;" ")-1),TSales2[[#This Row],[Product Description]])</f>
        <v>Women</v>
      </c>
      <c r="M40" s="16"/>
    </row>
    <row r="41" spans="1:13" x14ac:dyDescent="0.3">
      <c r="A41" s="5" t="s">
        <v>11</v>
      </c>
      <c r="B41" s="6" t="s">
        <v>12</v>
      </c>
      <c r="C41" s="6" t="s">
        <v>13</v>
      </c>
      <c r="D41" s="6">
        <v>65629</v>
      </c>
      <c r="E41" s="7">
        <v>44002</v>
      </c>
      <c r="F41" s="6">
        <v>8010</v>
      </c>
      <c r="G41" s="6" t="s">
        <v>14</v>
      </c>
      <c r="H41" s="6">
        <v>104</v>
      </c>
      <c r="I41" s="6" t="s">
        <v>17</v>
      </c>
      <c r="J41" s="6">
        <v>130</v>
      </c>
      <c r="K41" s="8">
        <v>1560</v>
      </c>
      <c r="L41" s="6" t="str">
        <f>IFERROR(LEFT(TSales2[[#This Row],[Product Description]], FIND(" ",TSales2[[#This Row],[Product Description]]&amp;" ")-1),TSales2[[#This Row],[Product Description]])</f>
        <v>Women</v>
      </c>
      <c r="M41" s="16"/>
    </row>
    <row r="42" spans="1:13" x14ac:dyDescent="0.3">
      <c r="A42" s="5" t="s">
        <v>11</v>
      </c>
      <c r="B42" s="6" t="s">
        <v>12</v>
      </c>
      <c r="C42" s="6" t="s">
        <v>13</v>
      </c>
      <c r="D42" s="6">
        <v>65629</v>
      </c>
      <c r="E42" s="7">
        <v>44003</v>
      </c>
      <c r="F42" s="6">
        <v>8010</v>
      </c>
      <c r="G42" s="6" t="s">
        <v>14</v>
      </c>
      <c r="H42" s="6">
        <v>105</v>
      </c>
      <c r="I42" s="6" t="s">
        <v>24</v>
      </c>
      <c r="J42" s="6">
        <v>140</v>
      </c>
      <c r="K42" s="8">
        <v>1400</v>
      </c>
      <c r="L42" s="6" t="str">
        <f>IFERROR(LEFT(TSales2[[#This Row],[Product Description]], FIND(" ",TSales2[[#This Row],[Product Description]]&amp;" ")-1),TSales2[[#This Row],[Product Description]])</f>
        <v>Women</v>
      </c>
      <c r="M42" s="16"/>
    </row>
    <row r="43" spans="1:13" x14ac:dyDescent="0.3">
      <c r="A43" s="5" t="s">
        <v>11</v>
      </c>
      <c r="B43" s="6" t="s">
        <v>12</v>
      </c>
      <c r="C43" s="6" t="s">
        <v>13</v>
      </c>
      <c r="D43" s="6">
        <v>65631</v>
      </c>
      <c r="E43" s="7">
        <v>44004</v>
      </c>
      <c r="F43" s="6">
        <v>8020</v>
      </c>
      <c r="G43" s="6" t="s">
        <v>21</v>
      </c>
      <c r="H43" s="6">
        <v>107</v>
      </c>
      <c r="I43" s="6" t="s">
        <v>30</v>
      </c>
      <c r="J43" s="6">
        <v>190</v>
      </c>
      <c r="K43" s="8">
        <v>950</v>
      </c>
      <c r="L43" s="6" t="str">
        <f>IFERROR(LEFT(TSales2[[#This Row],[Product Description]], FIND(" ",TSales2[[#This Row],[Product Description]]&amp;" ")-1),TSales2[[#This Row],[Product Description]])</f>
        <v>Women</v>
      </c>
      <c r="M43" s="16"/>
    </row>
    <row r="44" spans="1:13" x14ac:dyDescent="0.3">
      <c r="A44" s="5" t="s">
        <v>11</v>
      </c>
      <c r="B44" s="6" t="s">
        <v>12</v>
      </c>
      <c r="C44" s="6" t="s">
        <v>13</v>
      </c>
      <c r="D44" s="6">
        <v>65631</v>
      </c>
      <c r="E44" s="7">
        <v>44005</v>
      </c>
      <c r="F44" s="6">
        <v>8020</v>
      </c>
      <c r="G44" s="6" t="s">
        <v>21</v>
      </c>
      <c r="H44" s="6">
        <v>103</v>
      </c>
      <c r="I44" s="6" t="s">
        <v>15</v>
      </c>
      <c r="J44" s="6">
        <v>120</v>
      </c>
      <c r="K44" s="8">
        <v>1440</v>
      </c>
      <c r="L44" s="6" t="str">
        <f>IFERROR(LEFT(TSales2[[#This Row],[Product Description]], FIND(" ",TSales2[[#This Row],[Product Description]]&amp;" ")-1),TSales2[[#This Row],[Product Description]])</f>
        <v>Women</v>
      </c>
      <c r="M44" s="16"/>
    </row>
    <row r="45" spans="1:13" x14ac:dyDescent="0.3">
      <c r="A45" s="5" t="s">
        <v>38</v>
      </c>
      <c r="B45" s="6" t="s">
        <v>39</v>
      </c>
      <c r="C45" s="6" t="s">
        <v>13</v>
      </c>
      <c r="D45" s="6">
        <v>24030</v>
      </c>
      <c r="E45" s="7">
        <v>43983</v>
      </c>
      <c r="F45" s="6">
        <v>8020</v>
      </c>
      <c r="G45" s="6" t="s">
        <v>21</v>
      </c>
      <c r="H45" s="6">
        <v>101</v>
      </c>
      <c r="I45" s="6" t="s">
        <v>40</v>
      </c>
      <c r="J45" s="6">
        <v>130</v>
      </c>
      <c r="K45" s="8">
        <v>1560</v>
      </c>
      <c r="L45" s="6" t="str">
        <f>IFERROR(LEFT(TSales2[[#This Row],[Product Description]], FIND(" ",TSales2[[#This Row],[Product Description]]&amp;" ")-1),TSales2[[#This Row],[Product Description]])</f>
        <v>Men</v>
      </c>
      <c r="M45" s="16"/>
    </row>
    <row r="46" spans="1:13" x14ac:dyDescent="0.3">
      <c r="A46" s="5" t="s">
        <v>38</v>
      </c>
      <c r="B46" s="6" t="s">
        <v>39</v>
      </c>
      <c r="C46" s="6" t="s">
        <v>13</v>
      </c>
      <c r="D46" s="6">
        <v>24030</v>
      </c>
      <c r="E46" s="7">
        <v>43984</v>
      </c>
      <c r="F46" s="6">
        <v>8020</v>
      </c>
      <c r="G46" s="6" t="s">
        <v>21</v>
      </c>
      <c r="H46" s="6">
        <v>102</v>
      </c>
      <c r="I46" s="6" t="s">
        <v>41</v>
      </c>
      <c r="J46" s="6">
        <v>30</v>
      </c>
      <c r="K46" s="8">
        <v>360</v>
      </c>
      <c r="L46" s="6" t="str">
        <f>IFERROR(LEFT(TSales2[[#This Row],[Product Description]], FIND(" ",TSales2[[#This Row],[Product Description]]&amp;" ")-1),TSales2[[#This Row],[Product Description]])</f>
        <v>Men</v>
      </c>
      <c r="M46" s="16"/>
    </row>
    <row r="47" spans="1:13" x14ac:dyDescent="0.3">
      <c r="A47" s="5" t="s">
        <v>38</v>
      </c>
      <c r="B47" s="6" t="s">
        <v>39</v>
      </c>
      <c r="C47" s="6" t="s">
        <v>13</v>
      </c>
      <c r="D47" s="6">
        <v>24030</v>
      </c>
      <c r="E47" s="7">
        <v>43985</v>
      </c>
      <c r="F47" s="6">
        <v>8020</v>
      </c>
      <c r="G47" s="6" t="s">
        <v>21</v>
      </c>
      <c r="H47" s="6">
        <v>106</v>
      </c>
      <c r="I47" s="6" t="s">
        <v>42</v>
      </c>
      <c r="J47" s="6">
        <v>60</v>
      </c>
      <c r="K47" s="8">
        <v>300</v>
      </c>
      <c r="L47" s="6" t="str">
        <f>IFERROR(LEFT(TSales2[[#This Row],[Product Description]], FIND(" ",TSales2[[#This Row],[Product Description]]&amp;" ")-1),TSales2[[#This Row],[Product Description]])</f>
        <v>Men</v>
      </c>
      <c r="M47" s="16"/>
    </row>
    <row r="48" spans="1:13" x14ac:dyDescent="0.3">
      <c r="A48" s="5" t="s">
        <v>38</v>
      </c>
      <c r="B48" s="6" t="s">
        <v>39</v>
      </c>
      <c r="C48" s="6" t="s">
        <v>13</v>
      </c>
      <c r="D48" s="6">
        <v>24030</v>
      </c>
      <c r="E48" s="7">
        <v>43986</v>
      </c>
      <c r="F48" s="6">
        <v>8020</v>
      </c>
      <c r="G48" s="6" t="s">
        <v>21</v>
      </c>
      <c r="H48" s="6">
        <v>108</v>
      </c>
      <c r="I48" s="6" t="s">
        <v>43</v>
      </c>
      <c r="J48" s="6">
        <v>80</v>
      </c>
      <c r="K48" s="8">
        <v>2240</v>
      </c>
      <c r="L48" s="6" t="str">
        <f>IFERROR(LEFT(TSales2[[#This Row],[Product Description]], FIND(" ",TSales2[[#This Row],[Product Description]]&amp;" ")-1),TSales2[[#This Row],[Product Description]])</f>
        <v>Laptop</v>
      </c>
      <c r="M48" s="16"/>
    </row>
    <row r="49" spans="1:13" x14ac:dyDescent="0.3">
      <c r="A49" s="5" t="s">
        <v>38</v>
      </c>
      <c r="B49" s="6" t="s">
        <v>39</v>
      </c>
      <c r="C49" s="6" t="s">
        <v>13</v>
      </c>
      <c r="D49" s="6">
        <v>24031</v>
      </c>
      <c r="E49" s="7">
        <v>43987</v>
      </c>
      <c r="F49" s="6">
        <v>8020</v>
      </c>
      <c r="G49" s="6" t="s">
        <v>21</v>
      </c>
      <c r="H49" s="6">
        <v>101</v>
      </c>
      <c r="I49" s="6" t="s">
        <v>40</v>
      </c>
      <c r="J49" s="6">
        <v>100</v>
      </c>
      <c r="K49" s="8">
        <v>1200</v>
      </c>
      <c r="L49" s="6" t="str">
        <f>IFERROR(LEFT(TSales2[[#This Row],[Product Description]], FIND(" ",TSales2[[#This Row],[Product Description]]&amp;" ")-1),TSales2[[#This Row],[Product Description]])</f>
        <v>Men</v>
      </c>
      <c r="M49" s="16"/>
    </row>
    <row r="50" spans="1:13" x14ac:dyDescent="0.3">
      <c r="A50" s="5" t="s">
        <v>38</v>
      </c>
      <c r="B50" s="6" t="s">
        <v>39</v>
      </c>
      <c r="C50" s="6" t="s">
        <v>13</v>
      </c>
      <c r="D50" s="6">
        <v>24031</v>
      </c>
      <c r="E50" s="7">
        <v>43988</v>
      </c>
      <c r="F50" s="6">
        <v>8020</v>
      </c>
      <c r="G50" s="6" t="s">
        <v>21</v>
      </c>
      <c r="H50" s="6">
        <v>108</v>
      </c>
      <c r="I50" s="6" t="s">
        <v>43</v>
      </c>
      <c r="J50" s="6">
        <v>20</v>
      </c>
      <c r="K50" s="8">
        <v>560</v>
      </c>
      <c r="L50" s="6" t="str">
        <f>IFERROR(LEFT(TSales2[[#This Row],[Product Description]], FIND(" ",TSales2[[#This Row],[Product Description]]&amp;" ")-1),TSales2[[#This Row],[Product Description]])</f>
        <v>Laptop</v>
      </c>
      <c r="M50" s="16"/>
    </row>
    <row r="51" spans="1:13" x14ac:dyDescent="0.3">
      <c r="A51" s="5" t="s">
        <v>38</v>
      </c>
      <c r="B51" s="6" t="s">
        <v>39</v>
      </c>
      <c r="C51" s="6" t="s">
        <v>13</v>
      </c>
      <c r="D51" s="6">
        <v>24031</v>
      </c>
      <c r="E51" s="7">
        <v>43989</v>
      </c>
      <c r="F51" s="6">
        <v>8020</v>
      </c>
      <c r="G51" s="6" t="s">
        <v>21</v>
      </c>
      <c r="H51" s="6">
        <v>113</v>
      </c>
      <c r="I51" s="6" t="s">
        <v>44</v>
      </c>
      <c r="J51" s="6">
        <v>100</v>
      </c>
      <c r="K51" s="8">
        <v>2500</v>
      </c>
      <c r="L51" s="6" t="str">
        <f>IFERROR(LEFT(TSales2[[#This Row],[Product Description]], FIND(" ",TSales2[[#This Row],[Product Description]]&amp;" ")-1),TSales2[[#This Row],[Product Description]])</f>
        <v>Men</v>
      </c>
      <c r="M51" s="16"/>
    </row>
    <row r="52" spans="1:13" x14ac:dyDescent="0.3">
      <c r="A52" s="5" t="s">
        <v>38</v>
      </c>
      <c r="B52" s="6" t="s">
        <v>39</v>
      </c>
      <c r="C52" s="6" t="s">
        <v>13</v>
      </c>
      <c r="D52" s="6">
        <v>28112</v>
      </c>
      <c r="E52" s="7">
        <v>43990</v>
      </c>
      <c r="F52" s="6">
        <v>8020</v>
      </c>
      <c r="G52" s="6" t="s">
        <v>21</v>
      </c>
      <c r="H52" s="6">
        <v>114</v>
      </c>
      <c r="I52" s="6" t="s">
        <v>45</v>
      </c>
      <c r="J52" s="6">
        <v>50</v>
      </c>
      <c r="K52" s="8">
        <v>1250</v>
      </c>
      <c r="L52" s="6" t="str">
        <f>IFERROR(LEFT(TSales2[[#This Row],[Product Description]], FIND(" ",TSales2[[#This Row],[Product Description]]&amp;" ")-1),TSales2[[#This Row],[Product Description]])</f>
        <v>Men</v>
      </c>
      <c r="M52" s="16"/>
    </row>
    <row r="53" spans="1:13" x14ac:dyDescent="0.3">
      <c r="A53" s="5" t="s">
        <v>38</v>
      </c>
      <c r="B53" s="6" t="s">
        <v>39</v>
      </c>
      <c r="C53" s="6" t="s">
        <v>13</v>
      </c>
      <c r="D53" s="6">
        <v>28112</v>
      </c>
      <c r="E53" s="7">
        <v>43991</v>
      </c>
      <c r="F53" s="6">
        <v>8020</v>
      </c>
      <c r="G53" s="6" t="s">
        <v>21</v>
      </c>
      <c r="H53" s="6">
        <v>101</v>
      </c>
      <c r="I53" s="6" t="s">
        <v>40</v>
      </c>
      <c r="J53" s="6">
        <v>40</v>
      </c>
      <c r="K53" s="8">
        <v>480</v>
      </c>
      <c r="L53" s="6" t="str">
        <f>IFERROR(LEFT(TSales2[[#This Row],[Product Description]], FIND(" ",TSales2[[#This Row],[Product Description]]&amp;" ")-1),TSales2[[#This Row],[Product Description]])</f>
        <v>Men</v>
      </c>
      <c r="M53" s="16"/>
    </row>
    <row r="54" spans="1:13" x14ac:dyDescent="0.3">
      <c r="A54" s="5" t="s">
        <v>38</v>
      </c>
      <c r="B54" s="6" t="s">
        <v>39</v>
      </c>
      <c r="C54" s="6" t="s">
        <v>13</v>
      </c>
      <c r="D54" s="6">
        <v>28112</v>
      </c>
      <c r="E54" s="7">
        <v>43992</v>
      </c>
      <c r="F54" s="6">
        <v>8020</v>
      </c>
      <c r="G54" s="6" t="s">
        <v>21</v>
      </c>
      <c r="H54" s="6">
        <v>102</v>
      </c>
      <c r="I54" s="6" t="s">
        <v>41</v>
      </c>
      <c r="J54" s="6">
        <v>70</v>
      </c>
      <c r="K54" s="8">
        <v>840</v>
      </c>
      <c r="L54" s="6" t="str">
        <f>IFERROR(LEFT(TSales2[[#This Row],[Product Description]], FIND(" ",TSales2[[#This Row],[Product Description]]&amp;" ")-1),TSales2[[#This Row],[Product Description]])</f>
        <v>Men</v>
      </c>
      <c r="M54" s="16"/>
    </row>
    <row r="55" spans="1:13" x14ac:dyDescent="0.3">
      <c r="A55" s="5" t="s">
        <v>38</v>
      </c>
      <c r="B55" s="6" t="s">
        <v>39</v>
      </c>
      <c r="C55" s="6" t="s">
        <v>13</v>
      </c>
      <c r="D55" s="6">
        <v>28112</v>
      </c>
      <c r="E55" s="7">
        <v>43993</v>
      </c>
      <c r="F55" s="6">
        <v>8020</v>
      </c>
      <c r="G55" s="6" t="s">
        <v>21</v>
      </c>
      <c r="H55" s="6">
        <v>106</v>
      </c>
      <c r="I55" s="6" t="s">
        <v>42</v>
      </c>
      <c r="J55" s="6">
        <v>70</v>
      </c>
      <c r="K55" s="8">
        <v>350</v>
      </c>
      <c r="L55" s="6" t="str">
        <f>IFERROR(LEFT(TSales2[[#This Row],[Product Description]], FIND(" ",TSales2[[#This Row],[Product Description]]&amp;" ")-1),TSales2[[#This Row],[Product Description]])</f>
        <v>Men</v>
      </c>
      <c r="M55" s="16"/>
    </row>
    <row r="56" spans="1:13" x14ac:dyDescent="0.3">
      <c r="A56" s="5" t="s">
        <v>38</v>
      </c>
      <c r="B56" s="6" t="s">
        <v>39</v>
      </c>
      <c r="C56" s="6" t="s">
        <v>13</v>
      </c>
      <c r="D56" s="6">
        <v>28112</v>
      </c>
      <c r="E56" s="7">
        <v>43994</v>
      </c>
      <c r="F56" s="6">
        <v>8020</v>
      </c>
      <c r="G56" s="6" t="s">
        <v>21</v>
      </c>
      <c r="H56" s="6">
        <v>108</v>
      </c>
      <c r="I56" s="6" t="s">
        <v>43</v>
      </c>
      <c r="J56" s="6">
        <v>10</v>
      </c>
      <c r="K56" s="8">
        <v>280</v>
      </c>
      <c r="L56" s="6" t="str">
        <f>IFERROR(LEFT(TSales2[[#This Row],[Product Description]], FIND(" ",TSales2[[#This Row],[Product Description]]&amp;" ")-1),TSales2[[#This Row],[Product Description]])</f>
        <v>Laptop</v>
      </c>
      <c r="M56" s="16"/>
    </row>
    <row r="57" spans="1:13" x14ac:dyDescent="0.3">
      <c r="A57" s="5" t="s">
        <v>38</v>
      </c>
      <c r="B57" s="6" t="s">
        <v>39</v>
      </c>
      <c r="C57" s="6" t="s">
        <v>13</v>
      </c>
      <c r="D57" s="6">
        <v>28112</v>
      </c>
      <c r="E57" s="7">
        <v>43995</v>
      </c>
      <c r="F57" s="6">
        <v>8020</v>
      </c>
      <c r="G57" s="6" t="s">
        <v>21</v>
      </c>
      <c r="H57" s="6">
        <v>117</v>
      </c>
      <c r="I57" s="6" t="s">
        <v>46</v>
      </c>
      <c r="J57" s="6">
        <v>80</v>
      </c>
      <c r="K57" s="8">
        <v>1440</v>
      </c>
      <c r="L57" s="6" t="str">
        <f>IFERROR(LEFT(TSales2[[#This Row],[Product Description]], FIND(" ",TSales2[[#This Row],[Product Description]]&amp;" ")-1),TSales2[[#This Row],[Product Description]])</f>
        <v>Men</v>
      </c>
      <c r="M57" s="16"/>
    </row>
    <row r="58" spans="1:13" x14ac:dyDescent="0.3">
      <c r="A58" s="5" t="s">
        <v>38</v>
      </c>
      <c r="B58" s="6" t="s">
        <v>39</v>
      </c>
      <c r="C58" s="6" t="s">
        <v>13</v>
      </c>
      <c r="D58" s="6">
        <v>28112</v>
      </c>
      <c r="E58" s="7">
        <v>43996</v>
      </c>
      <c r="F58" s="6">
        <v>8020</v>
      </c>
      <c r="G58" s="6" t="s">
        <v>21</v>
      </c>
      <c r="H58" s="6">
        <v>118</v>
      </c>
      <c r="I58" s="6" t="s">
        <v>47</v>
      </c>
      <c r="J58" s="6">
        <v>70</v>
      </c>
      <c r="K58" s="8">
        <v>1260</v>
      </c>
      <c r="L58" s="6" t="str">
        <f>IFERROR(LEFT(TSales2[[#This Row],[Product Description]], FIND(" ",TSales2[[#This Row],[Product Description]]&amp;" ")-1),TSales2[[#This Row],[Product Description]])</f>
        <v>Men</v>
      </c>
      <c r="M58" s="16"/>
    </row>
    <row r="59" spans="1:13" x14ac:dyDescent="0.3">
      <c r="A59" s="5" t="s">
        <v>38</v>
      </c>
      <c r="B59" s="6" t="s">
        <v>39</v>
      </c>
      <c r="C59" s="6" t="s">
        <v>13</v>
      </c>
      <c r="D59" s="6">
        <v>25442</v>
      </c>
      <c r="E59" s="7">
        <v>43997</v>
      </c>
      <c r="F59" s="6">
        <v>8010</v>
      </c>
      <c r="G59" s="6" t="s">
        <v>14</v>
      </c>
      <c r="H59" s="6">
        <v>118</v>
      </c>
      <c r="I59" s="6" t="s">
        <v>47</v>
      </c>
      <c r="J59" s="6">
        <v>70</v>
      </c>
      <c r="K59" s="8">
        <v>1260</v>
      </c>
      <c r="L59" s="6" t="str">
        <f>IFERROR(LEFT(TSales2[[#This Row],[Product Description]], FIND(" ",TSales2[[#This Row],[Product Description]]&amp;" ")-1),TSales2[[#This Row],[Product Description]])</f>
        <v>Men</v>
      </c>
      <c r="M59" s="16"/>
    </row>
    <row r="60" spans="1:13" x14ac:dyDescent="0.3">
      <c r="A60" s="5" t="s">
        <v>38</v>
      </c>
      <c r="B60" s="6" t="s">
        <v>39</v>
      </c>
      <c r="C60" s="6" t="s">
        <v>13</v>
      </c>
      <c r="D60" s="6">
        <v>25442</v>
      </c>
      <c r="E60" s="7">
        <v>43998</v>
      </c>
      <c r="F60" s="6">
        <v>8010</v>
      </c>
      <c r="G60" s="6" t="s">
        <v>14</v>
      </c>
      <c r="H60" s="6">
        <v>117</v>
      </c>
      <c r="I60" s="6" t="s">
        <v>46</v>
      </c>
      <c r="J60" s="6">
        <v>80</v>
      </c>
      <c r="K60" s="8">
        <v>1440</v>
      </c>
      <c r="L60" s="6" t="str">
        <f>IFERROR(LEFT(TSales2[[#This Row],[Product Description]], FIND(" ",TSales2[[#This Row],[Product Description]]&amp;" ")-1),TSales2[[#This Row],[Product Description]])</f>
        <v>Men</v>
      </c>
      <c r="M60" s="16"/>
    </row>
    <row r="61" spans="1:13" x14ac:dyDescent="0.3">
      <c r="A61" s="5" t="s">
        <v>38</v>
      </c>
      <c r="B61" s="6" t="s">
        <v>39</v>
      </c>
      <c r="C61" s="6" t="s">
        <v>13</v>
      </c>
      <c r="D61" s="6">
        <v>25442</v>
      </c>
      <c r="E61" s="7">
        <v>43999</v>
      </c>
      <c r="F61" s="6">
        <v>8010</v>
      </c>
      <c r="G61" s="6" t="s">
        <v>14</v>
      </c>
      <c r="H61" s="6">
        <v>118</v>
      </c>
      <c r="I61" s="6" t="s">
        <v>47</v>
      </c>
      <c r="J61" s="6">
        <v>70</v>
      </c>
      <c r="K61" s="8">
        <v>1260</v>
      </c>
      <c r="L61" s="6" t="str">
        <f>IFERROR(LEFT(TSales2[[#This Row],[Product Description]], FIND(" ",TSales2[[#This Row],[Product Description]]&amp;" ")-1),TSales2[[#This Row],[Product Description]])</f>
        <v>Men</v>
      </c>
      <c r="M61" s="16"/>
    </row>
    <row r="62" spans="1:13" x14ac:dyDescent="0.3">
      <c r="A62" s="5" t="s">
        <v>38</v>
      </c>
      <c r="B62" s="6" t="s">
        <v>39</v>
      </c>
      <c r="C62" s="6" t="s">
        <v>13</v>
      </c>
      <c r="D62" s="6">
        <v>25442</v>
      </c>
      <c r="E62" s="7">
        <v>44000</v>
      </c>
      <c r="F62" s="6">
        <v>8010</v>
      </c>
      <c r="G62" s="6" t="s">
        <v>14</v>
      </c>
      <c r="H62" s="6">
        <v>116</v>
      </c>
      <c r="I62" s="6" t="s">
        <v>48</v>
      </c>
      <c r="J62" s="6">
        <v>60</v>
      </c>
      <c r="K62" s="8">
        <v>360</v>
      </c>
      <c r="L62" s="6" t="str">
        <f>IFERROR(LEFT(TSales2[[#This Row],[Product Description]], FIND(" ",TSales2[[#This Row],[Product Description]]&amp;" ")-1),TSales2[[#This Row],[Product Description]])</f>
        <v>Unisex</v>
      </c>
      <c r="M62" s="16"/>
    </row>
    <row r="63" spans="1:13" x14ac:dyDescent="0.3">
      <c r="A63" s="5" t="s">
        <v>38</v>
      </c>
      <c r="B63" s="6" t="s">
        <v>39</v>
      </c>
      <c r="C63" s="6" t="s">
        <v>13</v>
      </c>
      <c r="D63" s="6">
        <v>25442</v>
      </c>
      <c r="E63" s="7">
        <v>44001</v>
      </c>
      <c r="F63" s="6">
        <v>8010</v>
      </c>
      <c r="G63" s="6" t="s">
        <v>14</v>
      </c>
      <c r="H63" s="6">
        <v>106</v>
      </c>
      <c r="I63" s="6" t="s">
        <v>42</v>
      </c>
      <c r="J63" s="6">
        <v>20</v>
      </c>
      <c r="K63" s="8">
        <v>100</v>
      </c>
      <c r="L63" s="6" t="str">
        <f>IFERROR(LEFT(TSales2[[#This Row],[Product Description]], FIND(" ",TSales2[[#This Row],[Product Description]]&amp;" ")-1),TSales2[[#This Row],[Product Description]])</f>
        <v>Men</v>
      </c>
      <c r="M63" s="16"/>
    </row>
    <row r="64" spans="1:13" x14ac:dyDescent="0.3">
      <c r="A64" s="5" t="s">
        <v>38</v>
      </c>
      <c r="B64" s="6" t="s">
        <v>39</v>
      </c>
      <c r="C64" s="6" t="s">
        <v>13</v>
      </c>
      <c r="D64" s="6">
        <v>25442</v>
      </c>
      <c r="E64" s="7">
        <v>44002</v>
      </c>
      <c r="F64" s="6">
        <v>8010</v>
      </c>
      <c r="G64" s="6" t="s">
        <v>14</v>
      </c>
      <c r="H64" s="6">
        <v>101</v>
      </c>
      <c r="I64" s="6" t="s">
        <v>40</v>
      </c>
      <c r="J64" s="6">
        <v>40</v>
      </c>
      <c r="K64" s="8">
        <v>480</v>
      </c>
      <c r="L64" s="6" t="str">
        <f>IFERROR(LEFT(TSales2[[#This Row],[Product Description]], FIND(" ",TSales2[[#This Row],[Product Description]]&amp;" ")-1),TSales2[[#This Row],[Product Description]])</f>
        <v>Men</v>
      </c>
      <c r="M64" s="16"/>
    </row>
    <row r="65" spans="1:13" x14ac:dyDescent="0.3">
      <c r="A65" s="5" t="s">
        <v>38</v>
      </c>
      <c r="B65" s="6" t="s">
        <v>39</v>
      </c>
      <c r="C65" s="6" t="s">
        <v>13</v>
      </c>
      <c r="D65" s="6">
        <v>25442</v>
      </c>
      <c r="E65" s="7">
        <v>44003</v>
      </c>
      <c r="F65" s="6">
        <v>8010</v>
      </c>
      <c r="G65" s="6" t="s">
        <v>14</v>
      </c>
      <c r="H65" s="6">
        <v>102</v>
      </c>
      <c r="I65" s="6" t="s">
        <v>41</v>
      </c>
      <c r="J65" s="6">
        <v>10</v>
      </c>
      <c r="K65" s="8">
        <v>120</v>
      </c>
      <c r="L65" s="6" t="str">
        <f>IFERROR(LEFT(TSales2[[#This Row],[Product Description]], FIND(" ",TSales2[[#This Row],[Product Description]]&amp;" ")-1),TSales2[[#This Row],[Product Description]])</f>
        <v>Men</v>
      </c>
      <c r="M65" s="16"/>
    </row>
    <row r="66" spans="1:13" x14ac:dyDescent="0.3">
      <c r="A66" s="5" t="s">
        <v>49</v>
      </c>
      <c r="B66" s="6" t="s">
        <v>50</v>
      </c>
      <c r="C66" s="6" t="s">
        <v>51</v>
      </c>
      <c r="D66" s="6">
        <v>44030</v>
      </c>
      <c r="E66" s="7">
        <v>43983</v>
      </c>
      <c r="F66" s="6">
        <v>8060</v>
      </c>
      <c r="G66" s="6" t="s">
        <v>52</v>
      </c>
      <c r="H66" s="6">
        <v>108</v>
      </c>
      <c r="I66" s="6" t="s">
        <v>43</v>
      </c>
      <c r="J66" s="6">
        <v>60</v>
      </c>
      <c r="K66" s="8">
        <v>1970</v>
      </c>
      <c r="L66" s="6" t="str">
        <f>IFERROR(LEFT(TSales2[[#This Row],[Product Description]], FIND(" ",TSales2[[#This Row],[Product Description]]&amp;" ")-1),TSales2[[#This Row],[Product Description]])</f>
        <v>Laptop</v>
      </c>
      <c r="M66" s="16"/>
    </row>
    <row r="67" spans="1:13" x14ac:dyDescent="0.3">
      <c r="A67" s="5" t="s">
        <v>49</v>
      </c>
      <c r="B67" s="6" t="s">
        <v>50</v>
      </c>
      <c r="C67" s="6" t="s">
        <v>51</v>
      </c>
      <c r="D67" s="6">
        <v>44030</v>
      </c>
      <c r="E67" s="7">
        <v>43984</v>
      </c>
      <c r="F67" s="6">
        <v>8060</v>
      </c>
      <c r="G67" s="6" t="s">
        <v>52</v>
      </c>
      <c r="H67" s="6">
        <v>109</v>
      </c>
      <c r="I67" s="6" t="s">
        <v>53</v>
      </c>
      <c r="J67" s="6">
        <v>60</v>
      </c>
      <c r="K67" s="8">
        <v>1970</v>
      </c>
      <c r="L67" s="6" t="str">
        <f>IFERROR(LEFT(TSales2[[#This Row],[Product Description]], FIND(" ",TSales2[[#This Row],[Product Description]]&amp;" ")-1),TSales2[[#This Row],[Product Description]])</f>
        <v>Laptop</v>
      </c>
      <c r="M67" s="16"/>
    </row>
    <row r="68" spans="1:13" x14ac:dyDescent="0.3">
      <c r="A68" s="5" t="s">
        <v>49</v>
      </c>
      <c r="B68" s="6" t="s">
        <v>50</v>
      </c>
      <c r="C68" s="6" t="s">
        <v>51</v>
      </c>
      <c r="D68" s="6">
        <v>44032</v>
      </c>
      <c r="E68" s="7">
        <v>43983</v>
      </c>
      <c r="F68" s="6">
        <v>8060</v>
      </c>
      <c r="G68" s="6" t="s">
        <v>52</v>
      </c>
      <c r="H68" s="6">
        <v>108</v>
      </c>
      <c r="I68" s="6" t="s">
        <v>43</v>
      </c>
      <c r="J68" s="6">
        <v>60</v>
      </c>
      <c r="K68" s="8">
        <v>1970</v>
      </c>
      <c r="L68" s="6" t="str">
        <f>IFERROR(LEFT(TSales2[[#This Row],[Product Description]], FIND(" ",TSales2[[#This Row],[Product Description]]&amp;" ")-1),TSales2[[#This Row],[Product Description]])</f>
        <v>Laptop</v>
      </c>
      <c r="M68" s="16"/>
    </row>
    <row r="69" spans="1:13" x14ac:dyDescent="0.3">
      <c r="A69" s="5" t="s">
        <v>49</v>
      </c>
      <c r="B69" s="6" t="s">
        <v>50</v>
      </c>
      <c r="C69" s="6" t="s">
        <v>51</v>
      </c>
      <c r="D69" s="6">
        <v>44032</v>
      </c>
      <c r="E69" s="7">
        <v>43984</v>
      </c>
      <c r="F69" s="6">
        <v>8060</v>
      </c>
      <c r="G69" s="6" t="s">
        <v>52</v>
      </c>
      <c r="H69" s="6">
        <v>109</v>
      </c>
      <c r="I69" s="6" t="s">
        <v>53</v>
      </c>
      <c r="J69" s="6">
        <v>70</v>
      </c>
      <c r="K69" s="8">
        <v>2300</v>
      </c>
      <c r="L69" s="6" t="str">
        <f>IFERROR(LEFT(TSales2[[#This Row],[Product Description]], FIND(" ",TSales2[[#This Row],[Product Description]]&amp;" ")-1),TSales2[[#This Row],[Product Description]])</f>
        <v>Laptop</v>
      </c>
      <c r="M69" s="16"/>
    </row>
    <row r="70" spans="1:13" x14ac:dyDescent="0.3">
      <c r="A70" s="5" t="s">
        <v>49</v>
      </c>
      <c r="B70" s="6" t="s">
        <v>50</v>
      </c>
      <c r="C70" s="6" t="s">
        <v>51</v>
      </c>
      <c r="D70" s="6">
        <v>44031</v>
      </c>
      <c r="E70" s="7">
        <v>43983</v>
      </c>
      <c r="F70" s="6">
        <v>8050</v>
      </c>
      <c r="G70" s="6" t="s">
        <v>54</v>
      </c>
      <c r="H70" s="6">
        <v>108</v>
      </c>
      <c r="I70" s="6" t="s">
        <v>43</v>
      </c>
      <c r="J70" s="6">
        <v>60</v>
      </c>
      <c r="K70" s="8">
        <v>1970</v>
      </c>
      <c r="L70" s="6" t="str">
        <f>IFERROR(LEFT(TSales2[[#This Row],[Product Description]], FIND(" ",TSales2[[#This Row],[Product Description]]&amp;" ")-1),TSales2[[#This Row],[Product Description]])</f>
        <v>Laptop</v>
      </c>
      <c r="M70" s="16"/>
    </row>
    <row r="71" spans="1:13" x14ac:dyDescent="0.3">
      <c r="A71" s="5" t="s">
        <v>49</v>
      </c>
      <c r="B71" s="6" t="s">
        <v>50</v>
      </c>
      <c r="C71" s="6" t="s">
        <v>51</v>
      </c>
      <c r="D71" s="6">
        <v>44031</v>
      </c>
      <c r="E71" s="7">
        <v>43984</v>
      </c>
      <c r="F71" s="6">
        <v>8050</v>
      </c>
      <c r="G71" s="6" t="s">
        <v>54</v>
      </c>
      <c r="H71" s="6">
        <v>109</v>
      </c>
      <c r="I71" s="6" t="s">
        <v>53</v>
      </c>
      <c r="J71" s="6">
        <v>50</v>
      </c>
      <c r="K71" s="8">
        <v>1640</v>
      </c>
      <c r="L71" s="6" t="str">
        <f>IFERROR(LEFT(TSales2[[#This Row],[Product Description]], FIND(" ",TSales2[[#This Row],[Product Description]]&amp;" ")-1),TSales2[[#This Row],[Product Description]])</f>
        <v>Laptop</v>
      </c>
      <c r="M71" s="16"/>
    </row>
    <row r="72" spans="1:13" x14ac:dyDescent="0.3">
      <c r="A72" s="5" t="s">
        <v>49</v>
      </c>
      <c r="B72" s="6" t="s">
        <v>50</v>
      </c>
      <c r="C72" s="6" t="s">
        <v>51</v>
      </c>
      <c r="D72" s="6">
        <v>44031</v>
      </c>
      <c r="E72" s="7">
        <v>43989</v>
      </c>
      <c r="F72" s="6">
        <v>8050</v>
      </c>
      <c r="G72" s="6" t="s">
        <v>54</v>
      </c>
      <c r="H72" s="6">
        <v>110</v>
      </c>
      <c r="I72" s="6" t="s">
        <v>55</v>
      </c>
      <c r="J72" s="6">
        <v>60</v>
      </c>
      <c r="K72" s="8">
        <v>4230</v>
      </c>
      <c r="L72" s="6" t="str">
        <f>IFERROR(LEFT(TSales2[[#This Row],[Product Description]], FIND(" ",TSales2[[#This Row],[Product Description]]&amp;" ")-1),TSales2[[#This Row],[Product Description]])</f>
        <v>Smartphone</v>
      </c>
      <c r="M72" s="16"/>
    </row>
    <row r="73" spans="1:13" x14ac:dyDescent="0.3">
      <c r="A73" s="5" t="s">
        <v>49</v>
      </c>
      <c r="B73" s="6" t="s">
        <v>50</v>
      </c>
      <c r="C73" s="6" t="s">
        <v>51</v>
      </c>
      <c r="D73" s="6">
        <v>48112</v>
      </c>
      <c r="E73" s="7">
        <v>43990</v>
      </c>
      <c r="F73" s="6">
        <v>8060</v>
      </c>
      <c r="G73" s="6" t="s">
        <v>52</v>
      </c>
      <c r="H73" s="6">
        <v>109</v>
      </c>
      <c r="I73" s="6" t="s">
        <v>53</v>
      </c>
      <c r="J73" s="6">
        <v>60</v>
      </c>
      <c r="K73" s="8">
        <v>1970</v>
      </c>
      <c r="L73" s="6" t="str">
        <f>IFERROR(LEFT(TSales2[[#This Row],[Product Description]], FIND(" ",TSales2[[#This Row],[Product Description]]&amp;" ")-1),TSales2[[#This Row],[Product Description]])</f>
        <v>Laptop</v>
      </c>
      <c r="M73" s="16"/>
    </row>
    <row r="74" spans="1:13" x14ac:dyDescent="0.3">
      <c r="A74" s="5" t="s">
        <v>49</v>
      </c>
      <c r="B74" s="6" t="s">
        <v>50</v>
      </c>
      <c r="C74" s="6" t="s">
        <v>51</v>
      </c>
      <c r="D74" s="6">
        <v>48112</v>
      </c>
      <c r="E74" s="7">
        <v>43991</v>
      </c>
      <c r="F74" s="6">
        <v>8060</v>
      </c>
      <c r="G74" s="6" t="s">
        <v>52</v>
      </c>
      <c r="H74" s="6">
        <v>110</v>
      </c>
      <c r="I74" s="6" t="s">
        <v>55</v>
      </c>
      <c r="J74" s="6">
        <v>50</v>
      </c>
      <c r="K74" s="8">
        <v>3520</v>
      </c>
      <c r="L74" s="6" t="str">
        <f>IFERROR(LEFT(TSales2[[#This Row],[Product Description]], FIND(" ",TSales2[[#This Row],[Product Description]]&amp;" ")-1),TSales2[[#This Row],[Product Description]])</f>
        <v>Smartphone</v>
      </c>
      <c r="M74" s="16"/>
    </row>
    <row r="75" spans="1:13" x14ac:dyDescent="0.3">
      <c r="A75" s="5" t="s">
        <v>49</v>
      </c>
      <c r="B75" s="6" t="s">
        <v>50</v>
      </c>
      <c r="C75" s="6" t="s">
        <v>51</v>
      </c>
      <c r="D75" s="6">
        <v>48114</v>
      </c>
      <c r="E75" s="7">
        <v>43990</v>
      </c>
      <c r="F75" s="6">
        <v>8050</v>
      </c>
      <c r="G75" s="6" t="s">
        <v>54</v>
      </c>
      <c r="H75" s="6">
        <v>109</v>
      </c>
      <c r="I75" s="6" t="s">
        <v>53</v>
      </c>
      <c r="J75" s="6">
        <v>60</v>
      </c>
      <c r="K75" s="8">
        <v>1970</v>
      </c>
      <c r="L75" s="6" t="str">
        <f>IFERROR(LEFT(TSales2[[#This Row],[Product Description]], FIND(" ",TSales2[[#This Row],[Product Description]]&amp;" ")-1),TSales2[[#This Row],[Product Description]])</f>
        <v>Laptop</v>
      </c>
      <c r="M75" s="16"/>
    </row>
    <row r="76" spans="1:13" x14ac:dyDescent="0.3">
      <c r="A76" s="5" t="s">
        <v>49</v>
      </c>
      <c r="B76" s="6" t="s">
        <v>50</v>
      </c>
      <c r="C76" s="6" t="s">
        <v>51</v>
      </c>
      <c r="D76" s="6">
        <v>48114</v>
      </c>
      <c r="E76" s="7">
        <v>43991</v>
      </c>
      <c r="F76" s="6">
        <v>8050</v>
      </c>
      <c r="G76" s="6" t="s">
        <v>54</v>
      </c>
      <c r="H76" s="6">
        <v>110</v>
      </c>
      <c r="I76" s="6" t="s">
        <v>55</v>
      </c>
      <c r="J76" s="6">
        <v>60</v>
      </c>
      <c r="K76" s="8">
        <v>4230</v>
      </c>
      <c r="L76" s="6" t="str">
        <f>IFERROR(LEFT(TSales2[[#This Row],[Product Description]], FIND(" ",TSales2[[#This Row],[Product Description]]&amp;" ")-1),TSales2[[#This Row],[Product Description]])</f>
        <v>Smartphone</v>
      </c>
      <c r="M76" s="16"/>
    </row>
    <row r="77" spans="1:13" x14ac:dyDescent="0.3">
      <c r="A77" s="5" t="s">
        <v>49</v>
      </c>
      <c r="B77" s="6" t="s">
        <v>50</v>
      </c>
      <c r="C77" s="6" t="s">
        <v>51</v>
      </c>
      <c r="D77" s="6">
        <v>48114</v>
      </c>
      <c r="E77" s="7">
        <v>43994</v>
      </c>
      <c r="F77" s="6">
        <v>8050</v>
      </c>
      <c r="G77" s="6" t="s">
        <v>54</v>
      </c>
      <c r="H77" s="6">
        <v>111</v>
      </c>
      <c r="I77" s="6" t="s">
        <v>56</v>
      </c>
      <c r="J77" s="6">
        <v>80</v>
      </c>
      <c r="K77" s="8">
        <v>1880</v>
      </c>
      <c r="L77" s="6" t="str">
        <f>IFERROR(LEFT(TSales2[[#This Row],[Product Description]], FIND(" ",TSales2[[#This Row],[Product Description]]&amp;" ")-1),TSales2[[#This Row],[Product Description]])</f>
        <v>Smartphone</v>
      </c>
      <c r="M77" s="16"/>
    </row>
    <row r="78" spans="1:13" x14ac:dyDescent="0.3">
      <c r="A78" s="5" t="s">
        <v>49</v>
      </c>
      <c r="B78" s="6" t="s">
        <v>50</v>
      </c>
      <c r="C78" s="6" t="s">
        <v>51</v>
      </c>
      <c r="D78" s="6">
        <v>48116</v>
      </c>
      <c r="E78" s="7">
        <v>43990</v>
      </c>
      <c r="F78" s="6">
        <v>8060</v>
      </c>
      <c r="G78" s="6" t="s">
        <v>52</v>
      </c>
      <c r="H78" s="6">
        <v>109</v>
      </c>
      <c r="I78" s="6" t="s">
        <v>53</v>
      </c>
      <c r="J78" s="6">
        <v>60</v>
      </c>
      <c r="K78" s="8">
        <v>1970</v>
      </c>
      <c r="L78" s="6" t="str">
        <f>IFERROR(LEFT(TSales2[[#This Row],[Product Description]], FIND(" ",TSales2[[#This Row],[Product Description]]&amp;" ")-1),TSales2[[#This Row],[Product Description]])</f>
        <v>Laptop</v>
      </c>
      <c r="M78" s="16"/>
    </row>
    <row r="79" spans="1:13" x14ac:dyDescent="0.3">
      <c r="A79" s="5" t="s">
        <v>49</v>
      </c>
      <c r="B79" s="6" t="s">
        <v>50</v>
      </c>
      <c r="C79" s="6" t="s">
        <v>51</v>
      </c>
      <c r="D79" s="6">
        <v>48116</v>
      </c>
      <c r="E79" s="7">
        <v>43991</v>
      </c>
      <c r="F79" s="6">
        <v>8060</v>
      </c>
      <c r="G79" s="6" t="s">
        <v>52</v>
      </c>
      <c r="H79" s="6">
        <v>110</v>
      </c>
      <c r="I79" s="6" t="s">
        <v>55</v>
      </c>
      <c r="J79" s="6">
        <v>60</v>
      </c>
      <c r="K79" s="8">
        <v>4230</v>
      </c>
      <c r="L79" s="6" t="str">
        <f>IFERROR(LEFT(TSales2[[#This Row],[Product Description]], FIND(" ",TSales2[[#This Row],[Product Description]]&amp;" ")-1),TSales2[[#This Row],[Product Description]])</f>
        <v>Smartphone</v>
      </c>
      <c r="M79" s="16"/>
    </row>
    <row r="80" spans="1:13" x14ac:dyDescent="0.3">
      <c r="A80" s="5" t="s">
        <v>49</v>
      </c>
      <c r="B80" s="6" t="s">
        <v>50</v>
      </c>
      <c r="C80" s="6" t="s">
        <v>51</v>
      </c>
      <c r="D80" s="6">
        <v>45442</v>
      </c>
      <c r="E80" s="7">
        <v>43997</v>
      </c>
      <c r="F80" s="6">
        <v>8050</v>
      </c>
      <c r="G80" s="6" t="s">
        <v>54</v>
      </c>
      <c r="H80" s="6">
        <v>108</v>
      </c>
      <c r="I80" s="6" t="s">
        <v>43</v>
      </c>
      <c r="J80" s="6">
        <v>50</v>
      </c>
      <c r="K80" s="8">
        <v>1640</v>
      </c>
      <c r="L80" s="6" t="str">
        <f>IFERROR(LEFT(TSales2[[#This Row],[Product Description]], FIND(" ",TSales2[[#This Row],[Product Description]]&amp;" ")-1),TSales2[[#This Row],[Product Description]])</f>
        <v>Laptop</v>
      </c>
      <c r="M80" s="16"/>
    </row>
    <row r="81" spans="1:13" x14ac:dyDescent="0.3">
      <c r="A81" s="5" t="s">
        <v>49</v>
      </c>
      <c r="B81" s="6" t="s">
        <v>50</v>
      </c>
      <c r="C81" s="6" t="s">
        <v>51</v>
      </c>
      <c r="D81" s="6">
        <v>45442</v>
      </c>
      <c r="E81" s="7">
        <v>43998</v>
      </c>
      <c r="F81" s="6">
        <v>8050</v>
      </c>
      <c r="G81" s="6" t="s">
        <v>54</v>
      </c>
      <c r="H81" s="6">
        <v>109</v>
      </c>
      <c r="I81" s="6" t="s">
        <v>53</v>
      </c>
      <c r="J81" s="6">
        <v>60</v>
      </c>
      <c r="K81" s="8">
        <v>1970</v>
      </c>
      <c r="L81" s="6" t="str">
        <f>IFERROR(LEFT(TSales2[[#This Row],[Product Description]], FIND(" ",TSales2[[#This Row],[Product Description]]&amp;" ")-1),TSales2[[#This Row],[Product Description]])</f>
        <v>Laptop</v>
      </c>
      <c r="M81" s="16"/>
    </row>
    <row r="82" spans="1:13" x14ac:dyDescent="0.3">
      <c r="A82" s="5" t="s">
        <v>49</v>
      </c>
      <c r="B82" s="6" t="s">
        <v>50</v>
      </c>
      <c r="C82" s="6" t="s">
        <v>51</v>
      </c>
      <c r="D82" s="6">
        <v>45444</v>
      </c>
      <c r="E82" s="7">
        <v>43997</v>
      </c>
      <c r="F82" s="6">
        <v>8060</v>
      </c>
      <c r="G82" s="6" t="s">
        <v>52</v>
      </c>
      <c r="H82" s="6">
        <v>108</v>
      </c>
      <c r="I82" s="6" t="s">
        <v>43</v>
      </c>
      <c r="J82" s="6">
        <v>60</v>
      </c>
      <c r="K82" s="8">
        <v>1970</v>
      </c>
      <c r="L82" s="6" t="str">
        <f>IFERROR(LEFT(TSales2[[#This Row],[Product Description]], FIND(" ",TSales2[[#This Row],[Product Description]]&amp;" ")-1),TSales2[[#This Row],[Product Description]])</f>
        <v>Laptop</v>
      </c>
      <c r="M82" s="16"/>
    </row>
    <row r="83" spans="1:13" x14ac:dyDescent="0.3">
      <c r="A83" s="5" t="s">
        <v>49</v>
      </c>
      <c r="B83" s="6" t="s">
        <v>50</v>
      </c>
      <c r="C83" s="6" t="s">
        <v>51</v>
      </c>
      <c r="D83" s="6">
        <v>45444</v>
      </c>
      <c r="E83" s="7">
        <v>43998</v>
      </c>
      <c r="F83" s="6">
        <v>8060</v>
      </c>
      <c r="G83" s="6" t="s">
        <v>52</v>
      </c>
      <c r="H83" s="6">
        <v>109</v>
      </c>
      <c r="I83" s="6" t="s">
        <v>53</v>
      </c>
      <c r="J83" s="6">
        <v>70</v>
      </c>
      <c r="K83" s="8">
        <v>2300</v>
      </c>
      <c r="L83" s="6" t="str">
        <f>IFERROR(LEFT(TSales2[[#This Row],[Product Description]], FIND(" ",TSales2[[#This Row],[Product Description]]&amp;" ")-1),TSales2[[#This Row],[Product Description]])</f>
        <v>Laptop</v>
      </c>
      <c r="M83" s="16"/>
    </row>
    <row r="84" spans="1:13" x14ac:dyDescent="0.3">
      <c r="A84" s="5" t="s">
        <v>49</v>
      </c>
      <c r="B84" s="6" t="s">
        <v>50</v>
      </c>
      <c r="C84" s="6" t="s">
        <v>51</v>
      </c>
      <c r="D84" s="6">
        <v>45444</v>
      </c>
      <c r="E84" s="7">
        <v>44001</v>
      </c>
      <c r="F84" s="6">
        <v>8060</v>
      </c>
      <c r="G84" s="6" t="s">
        <v>52</v>
      </c>
      <c r="H84" s="6">
        <v>110</v>
      </c>
      <c r="I84" s="6" t="s">
        <v>55</v>
      </c>
      <c r="J84" s="6">
        <v>60</v>
      </c>
      <c r="K84" s="8">
        <v>4230</v>
      </c>
      <c r="L84" s="6" t="str">
        <f>IFERROR(LEFT(TSales2[[#This Row],[Product Description]], FIND(" ",TSales2[[#This Row],[Product Description]]&amp;" ")-1),TSales2[[#This Row],[Product Description]])</f>
        <v>Smartphone</v>
      </c>
      <c r="M84" s="16"/>
    </row>
    <row r="85" spans="1:13" x14ac:dyDescent="0.3">
      <c r="A85" s="5" t="s">
        <v>49</v>
      </c>
      <c r="B85" s="6" t="s">
        <v>50</v>
      </c>
      <c r="C85" s="6" t="s">
        <v>51</v>
      </c>
      <c r="D85" s="6">
        <v>45446</v>
      </c>
      <c r="E85" s="7">
        <v>43997</v>
      </c>
      <c r="F85" s="6">
        <v>8050</v>
      </c>
      <c r="G85" s="6" t="s">
        <v>54</v>
      </c>
      <c r="H85" s="6">
        <v>111</v>
      </c>
      <c r="I85" s="6" t="s">
        <v>56</v>
      </c>
      <c r="J85" s="6">
        <v>80</v>
      </c>
      <c r="K85" s="8">
        <v>1880</v>
      </c>
      <c r="L85" s="6" t="str">
        <f>IFERROR(LEFT(TSales2[[#This Row],[Product Description]], FIND(" ",TSales2[[#This Row],[Product Description]]&amp;" ")-1),TSales2[[#This Row],[Product Description]])</f>
        <v>Smartphone</v>
      </c>
      <c r="M85" s="16"/>
    </row>
    <row r="86" spans="1:13" x14ac:dyDescent="0.3">
      <c r="A86" s="5" t="s">
        <v>49</v>
      </c>
      <c r="B86" s="6" t="s">
        <v>50</v>
      </c>
      <c r="C86" s="6" t="s">
        <v>51</v>
      </c>
      <c r="D86" s="6">
        <v>45446</v>
      </c>
      <c r="E86" s="7">
        <v>43998</v>
      </c>
      <c r="F86" s="6">
        <v>8050</v>
      </c>
      <c r="G86" s="6" t="s">
        <v>54</v>
      </c>
      <c r="H86" s="6">
        <v>108</v>
      </c>
      <c r="I86" s="6" t="s">
        <v>43</v>
      </c>
      <c r="J86" s="6">
        <v>50</v>
      </c>
      <c r="K86" s="8">
        <v>1640</v>
      </c>
      <c r="L86" s="6" t="str">
        <f>IFERROR(LEFT(TSales2[[#This Row],[Product Description]], FIND(" ",TSales2[[#This Row],[Product Description]]&amp;" ")-1),TSales2[[#This Row],[Product Description]])</f>
        <v>Laptop</v>
      </c>
      <c r="M86" s="16"/>
    </row>
    <row r="87" spans="1:13" x14ac:dyDescent="0.3">
      <c r="A87" s="5" t="s">
        <v>49</v>
      </c>
      <c r="B87" s="6" t="s">
        <v>50</v>
      </c>
      <c r="C87" s="6" t="s">
        <v>51</v>
      </c>
      <c r="D87" s="6">
        <v>44015</v>
      </c>
      <c r="E87" s="7">
        <v>44000</v>
      </c>
      <c r="F87" s="6">
        <v>8060</v>
      </c>
      <c r="G87" s="6" t="s">
        <v>52</v>
      </c>
      <c r="H87" s="6">
        <v>108</v>
      </c>
      <c r="I87" s="6" t="s">
        <v>43</v>
      </c>
      <c r="J87" s="6">
        <v>60</v>
      </c>
      <c r="K87" s="8">
        <v>1970</v>
      </c>
      <c r="L87" s="6" t="str">
        <f>IFERROR(LEFT(TSales2[[#This Row],[Product Description]], FIND(" ",TSales2[[#This Row],[Product Description]]&amp;" ")-1),TSales2[[#This Row],[Product Description]])</f>
        <v>Laptop</v>
      </c>
      <c r="M87" s="16"/>
    </row>
    <row r="88" spans="1:13" x14ac:dyDescent="0.3">
      <c r="A88" s="5" t="s">
        <v>49</v>
      </c>
      <c r="B88" s="6" t="s">
        <v>50</v>
      </c>
      <c r="C88" s="6" t="s">
        <v>51</v>
      </c>
      <c r="D88" s="6">
        <v>44015</v>
      </c>
      <c r="E88" s="7">
        <v>44005</v>
      </c>
      <c r="F88" s="6">
        <v>8060</v>
      </c>
      <c r="G88" s="6" t="s">
        <v>52</v>
      </c>
      <c r="H88" s="6">
        <v>109</v>
      </c>
      <c r="I88" s="6" t="s">
        <v>53</v>
      </c>
      <c r="J88" s="6">
        <v>70</v>
      </c>
      <c r="K88" s="8">
        <v>2300</v>
      </c>
      <c r="L88" s="6" t="str">
        <f>IFERROR(LEFT(TSales2[[#This Row],[Product Description]], FIND(" ",TSales2[[#This Row],[Product Description]]&amp;" ")-1),TSales2[[#This Row],[Product Description]])</f>
        <v>Laptop</v>
      </c>
      <c r="M88" s="16"/>
    </row>
    <row r="89" spans="1:13" x14ac:dyDescent="0.3">
      <c r="A89" s="5" t="s">
        <v>49</v>
      </c>
      <c r="B89" s="6" t="s">
        <v>50</v>
      </c>
      <c r="C89" s="6" t="s">
        <v>51</v>
      </c>
      <c r="D89" s="6">
        <v>44017</v>
      </c>
      <c r="E89" s="7">
        <v>43998</v>
      </c>
      <c r="F89" s="6">
        <v>8060</v>
      </c>
      <c r="G89" s="6" t="s">
        <v>52</v>
      </c>
      <c r="H89" s="6">
        <v>108</v>
      </c>
      <c r="I89" s="6" t="s">
        <v>43</v>
      </c>
      <c r="J89" s="6">
        <v>70</v>
      </c>
      <c r="K89" s="8">
        <v>2300</v>
      </c>
      <c r="L89" s="6" t="str">
        <f>IFERROR(LEFT(TSales2[[#This Row],[Product Description]], FIND(" ",TSales2[[#This Row],[Product Description]]&amp;" ")-1),TSales2[[#This Row],[Product Description]])</f>
        <v>Laptop</v>
      </c>
      <c r="M89" s="16"/>
    </row>
    <row r="90" spans="1:13" x14ac:dyDescent="0.3">
      <c r="A90" s="5" t="s">
        <v>49</v>
      </c>
      <c r="B90" s="6" t="s">
        <v>50</v>
      </c>
      <c r="C90" s="6" t="s">
        <v>51</v>
      </c>
      <c r="D90" s="6">
        <v>44017</v>
      </c>
      <c r="E90" s="7">
        <v>44007</v>
      </c>
      <c r="F90" s="6">
        <v>8060</v>
      </c>
      <c r="G90" s="6" t="s">
        <v>52</v>
      </c>
      <c r="H90" s="6">
        <v>109</v>
      </c>
      <c r="I90" s="6" t="s">
        <v>53</v>
      </c>
      <c r="J90" s="6">
        <v>70</v>
      </c>
      <c r="K90" s="8">
        <v>2300</v>
      </c>
      <c r="L90" s="6" t="str">
        <f>IFERROR(LEFT(TSales2[[#This Row],[Product Description]], FIND(" ",TSales2[[#This Row],[Product Description]]&amp;" ")-1),TSales2[[#This Row],[Product Description]])</f>
        <v>Laptop</v>
      </c>
      <c r="M90" s="16"/>
    </row>
    <row r="91" spans="1:13" x14ac:dyDescent="0.3">
      <c r="A91" s="5" t="s">
        <v>49</v>
      </c>
      <c r="B91" s="6" t="s">
        <v>50</v>
      </c>
      <c r="C91" s="6" t="s">
        <v>51</v>
      </c>
      <c r="D91" s="6">
        <v>44016</v>
      </c>
      <c r="E91" s="7">
        <v>43998</v>
      </c>
      <c r="F91" s="6">
        <v>8050</v>
      </c>
      <c r="G91" s="6" t="s">
        <v>54</v>
      </c>
      <c r="H91" s="6">
        <v>108</v>
      </c>
      <c r="I91" s="6" t="s">
        <v>43</v>
      </c>
      <c r="J91" s="6">
        <v>70</v>
      </c>
      <c r="K91" s="8">
        <v>2300</v>
      </c>
      <c r="L91" s="6" t="str">
        <f>IFERROR(LEFT(TSales2[[#This Row],[Product Description]], FIND(" ",TSales2[[#This Row],[Product Description]]&amp;" ")-1),TSales2[[#This Row],[Product Description]])</f>
        <v>Laptop</v>
      </c>
      <c r="M91" s="16"/>
    </row>
    <row r="92" spans="1:13" x14ac:dyDescent="0.3">
      <c r="A92" s="5" t="s">
        <v>49</v>
      </c>
      <c r="B92" s="6" t="s">
        <v>50</v>
      </c>
      <c r="C92" s="6" t="s">
        <v>51</v>
      </c>
      <c r="D92" s="6">
        <v>44016</v>
      </c>
      <c r="E92" s="7">
        <v>44000</v>
      </c>
      <c r="F92" s="6">
        <v>8050</v>
      </c>
      <c r="G92" s="6" t="s">
        <v>54</v>
      </c>
      <c r="H92" s="6">
        <v>109</v>
      </c>
      <c r="I92" s="6" t="s">
        <v>53</v>
      </c>
      <c r="J92" s="6">
        <v>60</v>
      </c>
      <c r="K92" s="8">
        <v>1970</v>
      </c>
      <c r="L92" s="6" t="str">
        <f>IFERROR(LEFT(TSales2[[#This Row],[Product Description]], FIND(" ",TSales2[[#This Row],[Product Description]]&amp;" ")-1),TSales2[[#This Row],[Product Description]])</f>
        <v>Laptop</v>
      </c>
      <c r="M92" s="16"/>
    </row>
    <row r="93" spans="1:13" x14ac:dyDescent="0.3">
      <c r="A93" s="5" t="s">
        <v>49</v>
      </c>
      <c r="B93" s="6" t="s">
        <v>50</v>
      </c>
      <c r="C93" s="6" t="s">
        <v>51</v>
      </c>
      <c r="D93" s="6">
        <v>44016</v>
      </c>
      <c r="E93" s="7">
        <v>44005</v>
      </c>
      <c r="F93" s="6">
        <v>8050</v>
      </c>
      <c r="G93" s="6" t="s">
        <v>54</v>
      </c>
      <c r="H93" s="6">
        <v>110</v>
      </c>
      <c r="I93" s="6" t="s">
        <v>55</v>
      </c>
      <c r="J93" s="6">
        <v>50</v>
      </c>
      <c r="K93" s="8">
        <v>3520</v>
      </c>
      <c r="L93" s="6" t="str">
        <f>IFERROR(LEFT(TSales2[[#This Row],[Product Description]], FIND(" ",TSales2[[#This Row],[Product Description]]&amp;" ")-1),TSales2[[#This Row],[Product Description]])</f>
        <v>Smartphone</v>
      </c>
      <c r="M93" s="16"/>
    </row>
    <row r="94" spans="1:13" x14ac:dyDescent="0.3">
      <c r="A94" s="5" t="s">
        <v>49</v>
      </c>
      <c r="B94" s="6" t="s">
        <v>50</v>
      </c>
      <c r="C94" s="6" t="s">
        <v>51</v>
      </c>
      <c r="D94" s="6">
        <v>48097</v>
      </c>
      <c r="E94" s="7">
        <v>44011</v>
      </c>
      <c r="F94" s="6">
        <v>8060</v>
      </c>
      <c r="G94" s="6" t="s">
        <v>52</v>
      </c>
      <c r="H94" s="6">
        <v>109</v>
      </c>
      <c r="I94" s="6" t="s">
        <v>53</v>
      </c>
      <c r="J94" s="6">
        <v>60</v>
      </c>
      <c r="K94" s="8">
        <v>1970</v>
      </c>
      <c r="L94" s="6" t="str">
        <f>IFERROR(LEFT(TSales2[[#This Row],[Product Description]], FIND(" ",TSales2[[#This Row],[Product Description]]&amp;" ")-1),TSales2[[#This Row],[Product Description]])</f>
        <v>Laptop</v>
      </c>
      <c r="M94" s="16"/>
    </row>
    <row r="95" spans="1:13" x14ac:dyDescent="0.3">
      <c r="A95" s="5" t="s">
        <v>49</v>
      </c>
      <c r="B95" s="6" t="s">
        <v>50</v>
      </c>
      <c r="C95" s="6" t="s">
        <v>51</v>
      </c>
      <c r="D95" s="6">
        <v>48097</v>
      </c>
      <c r="E95" s="7">
        <v>44012</v>
      </c>
      <c r="F95" s="6">
        <v>8060</v>
      </c>
      <c r="G95" s="6" t="s">
        <v>52</v>
      </c>
      <c r="H95" s="6">
        <v>110</v>
      </c>
      <c r="I95" s="6" t="s">
        <v>55</v>
      </c>
      <c r="J95" s="6">
        <v>70</v>
      </c>
      <c r="K95" s="8">
        <v>4930</v>
      </c>
      <c r="L95" s="6" t="str">
        <f>IFERROR(LEFT(TSales2[[#This Row],[Product Description]], FIND(" ",TSales2[[#This Row],[Product Description]]&amp;" ")-1),TSales2[[#This Row],[Product Description]])</f>
        <v>Smartphone</v>
      </c>
      <c r="M95" s="16"/>
    </row>
    <row r="96" spans="1:13" x14ac:dyDescent="0.3">
      <c r="A96" s="5" t="s">
        <v>49</v>
      </c>
      <c r="B96" s="6" t="s">
        <v>50</v>
      </c>
      <c r="C96" s="6" t="s">
        <v>51</v>
      </c>
      <c r="D96" s="6">
        <v>48099</v>
      </c>
      <c r="E96" s="7">
        <v>43997</v>
      </c>
      <c r="F96" s="6">
        <v>8050</v>
      </c>
      <c r="G96" s="6" t="s">
        <v>54</v>
      </c>
      <c r="H96" s="6">
        <v>109</v>
      </c>
      <c r="I96" s="6" t="s">
        <v>53</v>
      </c>
      <c r="J96" s="6">
        <v>60</v>
      </c>
      <c r="K96" s="8">
        <v>1970</v>
      </c>
      <c r="L96" s="6" t="str">
        <f>IFERROR(LEFT(TSales2[[#This Row],[Product Description]], FIND(" ",TSales2[[#This Row],[Product Description]]&amp;" ")-1),TSales2[[#This Row],[Product Description]])</f>
        <v>Laptop</v>
      </c>
      <c r="M96" s="16"/>
    </row>
    <row r="97" spans="1:13" x14ac:dyDescent="0.3">
      <c r="A97" s="5" t="s">
        <v>49</v>
      </c>
      <c r="B97" s="6" t="s">
        <v>50</v>
      </c>
      <c r="C97" s="6" t="s">
        <v>51</v>
      </c>
      <c r="D97" s="6">
        <v>48099</v>
      </c>
      <c r="E97" s="7">
        <v>43998</v>
      </c>
      <c r="F97" s="6">
        <v>8050</v>
      </c>
      <c r="G97" s="6" t="s">
        <v>54</v>
      </c>
      <c r="H97" s="6">
        <v>110</v>
      </c>
      <c r="I97" s="6" t="s">
        <v>55</v>
      </c>
      <c r="J97" s="6">
        <v>60</v>
      </c>
      <c r="K97" s="8">
        <v>4230</v>
      </c>
      <c r="L97" s="6" t="str">
        <f>IFERROR(LEFT(TSales2[[#This Row],[Product Description]], FIND(" ",TSales2[[#This Row],[Product Description]]&amp;" ")-1),TSales2[[#This Row],[Product Description]])</f>
        <v>Smartphone</v>
      </c>
      <c r="M97" s="16"/>
    </row>
    <row r="98" spans="1:13" x14ac:dyDescent="0.3">
      <c r="A98" s="5" t="s">
        <v>49</v>
      </c>
      <c r="B98" s="6" t="s">
        <v>50</v>
      </c>
      <c r="C98" s="6" t="s">
        <v>51</v>
      </c>
      <c r="D98" s="6">
        <v>48099</v>
      </c>
      <c r="E98" s="7">
        <v>43999</v>
      </c>
      <c r="F98" s="6">
        <v>8050</v>
      </c>
      <c r="G98" s="6" t="s">
        <v>54</v>
      </c>
      <c r="H98" s="6">
        <v>111</v>
      </c>
      <c r="I98" s="6" t="s">
        <v>56</v>
      </c>
      <c r="J98" s="6">
        <v>60</v>
      </c>
      <c r="K98" s="8">
        <v>1410</v>
      </c>
      <c r="L98" s="6" t="str">
        <f>IFERROR(LEFT(TSales2[[#This Row],[Product Description]], FIND(" ",TSales2[[#This Row],[Product Description]]&amp;" ")-1),TSales2[[#This Row],[Product Description]])</f>
        <v>Smartphone</v>
      </c>
      <c r="M98" s="16"/>
    </row>
    <row r="99" spans="1:13" x14ac:dyDescent="0.3">
      <c r="A99" s="5" t="s">
        <v>49</v>
      </c>
      <c r="B99" s="6" t="s">
        <v>50</v>
      </c>
      <c r="C99" s="6" t="s">
        <v>51</v>
      </c>
      <c r="D99" s="6">
        <v>48101</v>
      </c>
      <c r="E99" s="7">
        <v>44000</v>
      </c>
      <c r="F99" s="6">
        <v>8060</v>
      </c>
      <c r="G99" s="6" t="s">
        <v>52</v>
      </c>
      <c r="H99" s="6">
        <v>109</v>
      </c>
      <c r="I99" s="6" t="s">
        <v>53</v>
      </c>
      <c r="J99" s="6">
        <v>60</v>
      </c>
      <c r="K99" s="8">
        <v>1970</v>
      </c>
      <c r="L99" s="6" t="str">
        <f>IFERROR(LEFT(TSales2[[#This Row],[Product Description]], FIND(" ",TSales2[[#This Row],[Product Description]]&amp;" ")-1),TSales2[[#This Row],[Product Description]])</f>
        <v>Laptop</v>
      </c>
      <c r="M99" s="16"/>
    </row>
    <row r="100" spans="1:13" x14ac:dyDescent="0.3">
      <c r="A100" s="5" t="s">
        <v>49</v>
      </c>
      <c r="B100" s="6" t="s">
        <v>50</v>
      </c>
      <c r="C100" s="6" t="s">
        <v>51</v>
      </c>
      <c r="D100" s="6">
        <v>48101</v>
      </c>
      <c r="E100" s="7">
        <v>44001</v>
      </c>
      <c r="F100" s="6">
        <v>8060</v>
      </c>
      <c r="G100" s="6" t="s">
        <v>52</v>
      </c>
      <c r="H100" s="6">
        <v>110</v>
      </c>
      <c r="I100" s="6" t="s">
        <v>55</v>
      </c>
      <c r="J100" s="6">
        <v>50</v>
      </c>
      <c r="K100" s="8">
        <v>3520</v>
      </c>
      <c r="L100" s="6" t="str">
        <f>IFERROR(LEFT(TSales2[[#This Row],[Product Description]], FIND(" ",TSales2[[#This Row],[Product Description]]&amp;" ")-1),TSales2[[#This Row],[Product Description]])</f>
        <v>Smartphone</v>
      </c>
      <c r="M100" s="16"/>
    </row>
    <row r="101" spans="1:13" x14ac:dyDescent="0.3">
      <c r="A101" s="5" t="s">
        <v>49</v>
      </c>
      <c r="B101" s="6" t="s">
        <v>50</v>
      </c>
      <c r="C101" s="6" t="s">
        <v>51</v>
      </c>
      <c r="D101" s="6">
        <v>45427</v>
      </c>
      <c r="E101" s="7">
        <v>44002</v>
      </c>
      <c r="F101" s="6">
        <v>8050</v>
      </c>
      <c r="G101" s="6" t="s">
        <v>54</v>
      </c>
      <c r="H101" s="6">
        <v>108</v>
      </c>
      <c r="I101" s="6" t="s">
        <v>43</v>
      </c>
      <c r="J101" s="6">
        <v>70</v>
      </c>
      <c r="K101" s="8">
        <v>2300</v>
      </c>
      <c r="L101" s="6" t="str">
        <f>IFERROR(LEFT(TSales2[[#This Row],[Product Description]], FIND(" ",TSales2[[#This Row],[Product Description]]&amp;" ")-1),TSales2[[#This Row],[Product Description]])</f>
        <v>Laptop</v>
      </c>
      <c r="M101" s="16"/>
    </row>
    <row r="102" spans="1:13" x14ac:dyDescent="0.3">
      <c r="A102" s="5" t="s">
        <v>49</v>
      </c>
      <c r="B102" s="6" t="s">
        <v>50</v>
      </c>
      <c r="C102" s="6" t="s">
        <v>51</v>
      </c>
      <c r="D102" s="6">
        <v>45427</v>
      </c>
      <c r="E102" s="7">
        <v>44003</v>
      </c>
      <c r="F102" s="6">
        <v>8050</v>
      </c>
      <c r="G102" s="6" t="s">
        <v>54</v>
      </c>
      <c r="H102" s="6">
        <v>109</v>
      </c>
      <c r="I102" s="6" t="s">
        <v>53</v>
      </c>
      <c r="J102" s="6">
        <v>60</v>
      </c>
      <c r="K102" s="8">
        <v>1970</v>
      </c>
      <c r="L102" s="6" t="str">
        <f>IFERROR(LEFT(TSales2[[#This Row],[Product Description]], FIND(" ",TSales2[[#This Row],[Product Description]]&amp;" ")-1),TSales2[[#This Row],[Product Description]])</f>
        <v>Laptop</v>
      </c>
      <c r="M102" s="16"/>
    </row>
    <row r="103" spans="1:13" x14ac:dyDescent="0.3">
      <c r="A103" s="5" t="s">
        <v>49</v>
      </c>
      <c r="B103" s="6" t="s">
        <v>50</v>
      </c>
      <c r="C103" s="6" t="s">
        <v>51</v>
      </c>
      <c r="D103" s="6">
        <v>45429</v>
      </c>
      <c r="E103" s="7">
        <v>44004</v>
      </c>
      <c r="F103" s="6">
        <v>8060</v>
      </c>
      <c r="G103" s="6" t="s">
        <v>52</v>
      </c>
      <c r="H103" s="6">
        <v>108</v>
      </c>
      <c r="I103" s="6" t="s">
        <v>43</v>
      </c>
      <c r="J103" s="6">
        <v>80</v>
      </c>
      <c r="K103" s="8">
        <v>2630</v>
      </c>
      <c r="L103" s="6" t="str">
        <f>IFERROR(LEFT(TSales2[[#This Row],[Product Description]], FIND(" ",TSales2[[#This Row],[Product Description]]&amp;" ")-1),TSales2[[#This Row],[Product Description]])</f>
        <v>Laptop</v>
      </c>
      <c r="M103" s="16"/>
    </row>
    <row r="104" spans="1:13" x14ac:dyDescent="0.3">
      <c r="A104" s="5" t="s">
        <v>49</v>
      </c>
      <c r="B104" s="6" t="s">
        <v>50</v>
      </c>
      <c r="C104" s="6" t="s">
        <v>51</v>
      </c>
      <c r="D104" s="6">
        <v>45429</v>
      </c>
      <c r="E104" s="7">
        <v>44005</v>
      </c>
      <c r="F104" s="6">
        <v>8060</v>
      </c>
      <c r="G104" s="6" t="s">
        <v>52</v>
      </c>
      <c r="H104" s="6">
        <v>109</v>
      </c>
      <c r="I104" s="6" t="s">
        <v>53</v>
      </c>
      <c r="J104" s="6">
        <v>80</v>
      </c>
      <c r="K104" s="8">
        <v>2630</v>
      </c>
      <c r="L104" s="6" t="str">
        <f>IFERROR(LEFT(TSales2[[#This Row],[Product Description]], FIND(" ",TSales2[[#This Row],[Product Description]]&amp;" ")-1),TSales2[[#This Row],[Product Description]])</f>
        <v>Laptop</v>
      </c>
      <c r="M104" s="16"/>
    </row>
    <row r="105" spans="1:13" x14ac:dyDescent="0.3">
      <c r="A105" s="5" t="s">
        <v>49</v>
      </c>
      <c r="B105" s="6" t="s">
        <v>50</v>
      </c>
      <c r="C105" s="6" t="s">
        <v>51</v>
      </c>
      <c r="D105" s="6">
        <v>45429</v>
      </c>
      <c r="E105" s="7">
        <v>44006</v>
      </c>
      <c r="F105" s="6">
        <v>8060</v>
      </c>
      <c r="G105" s="6" t="s">
        <v>52</v>
      </c>
      <c r="H105" s="6">
        <v>110</v>
      </c>
      <c r="I105" s="6" t="s">
        <v>55</v>
      </c>
      <c r="J105" s="6">
        <v>50</v>
      </c>
      <c r="K105" s="8">
        <v>3520</v>
      </c>
      <c r="L105" s="6" t="str">
        <f>IFERROR(LEFT(TSales2[[#This Row],[Product Description]], FIND(" ",TSales2[[#This Row],[Product Description]]&amp;" ")-1),TSales2[[#This Row],[Product Description]])</f>
        <v>Smartphone</v>
      </c>
      <c r="M105" s="16"/>
    </row>
    <row r="106" spans="1:13" x14ac:dyDescent="0.3">
      <c r="A106" s="5" t="s">
        <v>49</v>
      </c>
      <c r="B106" s="6" t="s">
        <v>50</v>
      </c>
      <c r="C106" s="6" t="s">
        <v>51</v>
      </c>
      <c r="D106" s="6">
        <v>45431</v>
      </c>
      <c r="E106" s="7">
        <v>44007</v>
      </c>
      <c r="F106" s="6">
        <v>8050</v>
      </c>
      <c r="G106" s="6" t="s">
        <v>54</v>
      </c>
      <c r="H106" s="6">
        <v>111</v>
      </c>
      <c r="I106" s="6" t="s">
        <v>56</v>
      </c>
      <c r="J106" s="6">
        <v>60</v>
      </c>
      <c r="K106" s="8">
        <v>1410</v>
      </c>
      <c r="L106" s="6" t="str">
        <f>IFERROR(LEFT(TSales2[[#This Row],[Product Description]], FIND(" ",TSales2[[#This Row],[Product Description]]&amp;" ")-1),TSales2[[#This Row],[Product Description]])</f>
        <v>Smartphone</v>
      </c>
      <c r="M106" s="16"/>
    </row>
    <row r="107" spans="1:13" x14ac:dyDescent="0.3">
      <c r="A107" s="11" t="s">
        <v>49</v>
      </c>
      <c r="B107" s="12" t="s">
        <v>50</v>
      </c>
      <c r="C107" s="12" t="s">
        <v>51</v>
      </c>
      <c r="D107" s="12">
        <v>45431</v>
      </c>
      <c r="E107" s="13">
        <v>44008</v>
      </c>
      <c r="F107" s="12">
        <v>8050</v>
      </c>
      <c r="G107" s="12" t="s">
        <v>54</v>
      </c>
      <c r="H107" s="12">
        <v>108</v>
      </c>
      <c r="I107" s="12" t="s">
        <v>43</v>
      </c>
      <c r="J107" s="12">
        <v>60</v>
      </c>
      <c r="K107" s="14">
        <v>1970</v>
      </c>
      <c r="L107" s="12" t="str">
        <f>IFERROR(LEFT(TSales2[[#This Row],[Product Description]], FIND(" ",TSales2[[#This Row],[Product Description]]&amp;" ")-1),TSales2[[#This Row],[Product Description]])</f>
        <v>Laptop</v>
      </c>
      <c r="M107" s="16"/>
    </row>
  </sheetData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1C4DB-B59F-45EE-98FF-C361A032130D}">
  <dimension ref="B2:C16"/>
  <sheetViews>
    <sheetView workbookViewId="0">
      <selection activeCell="J10" sqref="J10"/>
    </sheetView>
  </sheetViews>
  <sheetFormatPr defaultRowHeight="14.4" x14ac:dyDescent="0.3"/>
  <cols>
    <col min="3" max="3" width="70.6640625" bestFit="1" customWidth="1"/>
  </cols>
  <sheetData>
    <row r="2" spans="2:3" ht="15" x14ac:dyDescent="0.3">
      <c r="B2" s="6">
        <v>1</v>
      </c>
      <c r="C2" s="17" t="s">
        <v>16</v>
      </c>
    </row>
    <row r="3" spans="2:3" ht="15" x14ac:dyDescent="0.3">
      <c r="B3" s="6">
        <v>2</v>
      </c>
      <c r="C3" s="17" t="s">
        <v>18</v>
      </c>
    </row>
    <row r="4" spans="2:3" ht="15" x14ac:dyDescent="0.3">
      <c r="B4" s="6">
        <v>3</v>
      </c>
      <c r="C4" s="17" t="s">
        <v>19</v>
      </c>
    </row>
    <row r="5" spans="2:3" ht="15" x14ac:dyDescent="0.3">
      <c r="B5" s="6">
        <v>4</v>
      </c>
      <c r="C5" s="17" t="s">
        <v>20</v>
      </c>
    </row>
    <row r="6" spans="2:3" ht="15" x14ac:dyDescent="0.3">
      <c r="B6" s="6">
        <v>5</v>
      </c>
      <c r="C6" s="17" t="s">
        <v>22</v>
      </c>
    </row>
    <row r="7" spans="2:3" ht="15" x14ac:dyDescent="0.3">
      <c r="B7" s="6">
        <v>6</v>
      </c>
      <c r="C7" s="17" t="s">
        <v>23</v>
      </c>
    </row>
    <row r="8" spans="2:3" ht="15" x14ac:dyDescent="0.3">
      <c r="B8" s="6">
        <v>7</v>
      </c>
      <c r="C8" s="17" t="s">
        <v>25</v>
      </c>
    </row>
    <row r="9" spans="2:3" ht="15" x14ac:dyDescent="0.3">
      <c r="B9" s="6">
        <v>8</v>
      </c>
      <c r="C9" s="17" t="s">
        <v>26</v>
      </c>
    </row>
    <row r="10" spans="2:3" ht="15" x14ac:dyDescent="0.3">
      <c r="B10" s="6">
        <v>9</v>
      </c>
      <c r="C10" s="17" t="s">
        <v>27</v>
      </c>
    </row>
    <row r="11" spans="2:3" ht="15" x14ac:dyDescent="0.3">
      <c r="B11" s="6">
        <v>10</v>
      </c>
      <c r="C11" s="17" t="s">
        <v>28</v>
      </c>
    </row>
    <row r="12" spans="2:3" ht="15" x14ac:dyDescent="0.3">
      <c r="B12" s="6">
        <v>11</v>
      </c>
      <c r="C12" s="17" t="s">
        <v>29</v>
      </c>
    </row>
    <row r="13" spans="2:3" ht="15" x14ac:dyDescent="0.3">
      <c r="B13" s="6">
        <v>12</v>
      </c>
      <c r="C13" s="17" t="s">
        <v>31</v>
      </c>
    </row>
    <row r="14" spans="2:3" ht="15" x14ac:dyDescent="0.3">
      <c r="B14" s="6">
        <v>13</v>
      </c>
      <c r="C14" s="17" t="s">
        <v>32</v>
      </c>
    </row>
    <row r="15" spans="2:3" ht="15" x14ac:dyDescent="0.3">
      <c r="B15" s="6">
        <v>14</v>
      </c>
      <c r="C15" s="17" t="s">
        <v>33</v>
      </c>
    </row>
    <row r="16" spans="2:3" ht="15" x14ac:dyDescent="0.3">
      <c r="B16" s="6">
        <v>15</v>
      </c>
      <c r="C16" s="17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2AFAA-24BC-4DD1-9FAB-FCF4F42336AD}">
  <dimension ref="B1:L308"/>
  <sheetViews>
    <sheetView topLeftCell="C242" workbookViewId="0">
      <selection activeCell="F260" sqref="F260"/>
    </sheetView>
  </sheetViews>
  <sheetFormatPr defaultRowHeight="14.4" x14ac:dyDescent="0.3"/>
  <cols>
    <col min="2" max="2" width="15.77734375" bestFit="1" customWidth="1"/>
    <col min="3" max="3" width="12.77734375" bestFit="1" customWidth="1"/>
    <col min="5" max="5" width="27.88671875" bestFit="1" customWidth="1"/>
    <col min="6" max="6" width="12.5546875" bestFit="1" customWidth="1"/>
    <col min="7" max="7" width="15.77734375" bestFit="1" customWidth="1"/>
    <col min="9" max="9" width="23.88671875" bestFit="1" customWidth="1"/>
    <col min="10" max="10" width="14.88671875" bestFit="1" customWidth="1"/>
    <col min="11" max="12" width="15.77734375" bestFit="1" customWidth="1"/>
  </cols>
  <sheetData>
    <row r="1" spans="2:11" x14ac:dyDescent="0.3">
      <c r="B1" t="s">
        <v>57</v>
      </c>
      <c r="J1" t="s">
        <v>65</v>
      </c>
    </row>
    <row r="2" spans="2:11" x14ac:dyDescent="0.3">
      <c r="B2" s="15" t="s">
        <v>1</v>
      </c>
      <c r="C2" t="s">
        <v>12</v>
      </c>
      <c r="J2" s="15" t="s">
        <v>8</v>
      </c>
      <c r="K2" t="s">
        <v>58</v>
      </c>
    </row>
    <row r="4" spans="2:11" x14ac:dyDescent="0.3">
      <c r="B4" t="s">
        <v>36</v>
      </c>
      <c r="J4" t="s">
        <v>36</v>
      </c>
    </row>
    <row r="5" spans="2:11" x14ac:dyDescent="0.3">
      <c r="B5" s="26">
        <v>66100</v>
      </c>
      <c r="J5" s="26">
        <v>190280</v>
      </c>
    </row>
    <row r="7" spans="2:11" x14ac:dyDescent="0.3">
      <c r="J7" t="s">
        <v>66</v>
      </c>
    </row>
    <row r="8" spans="2:11" x14ac:dyDescent="0.3">
      <c r="B8" t="s">
        <v>59</v>
      </c>
      <c r="J8" s="15" t="s">
        <v>1</v>
      </c>
      <c r="K8" t="s">
        <v>12</v>
      </c>
    </row>
    <row r="9" spans="2:11" x14ac:dyDescent="0.3">
      <c r="J9" s="15" t="s">
        <v>4</v>
      </c>
      <c r="K9" t="s">
        <v>58</v>
      </c>
    </row>
    <row r="11" spans="2:11" x14ac:dyDescent="0.3">
      <c r="B11" s="15" t="s">
        <v>1</v>
      </c>
      <c r="C11" t="s">
        <v>12</v>
      </c>
      <c r="J11" s="15" t="s">
        <v>35</v>
      </c>
      <c r="K11" t="s">
        <v>36</v>
      </c>
    </row>
    <row r="12" spans="2:11" x14ac:dyDescent="0.3">
      <c r="J12" s="9" t="s">
        <v>14</v>
      </c>
      <c r="K12" s="26">
        <v>37480</v>
      </c>
    </row>
    <row r="13" spans="2:11" x14ac:dyDescent="0.3">
      <c r="B13" s="15" t="s">
        <v>35</v>
      </c>
      <c r="C13" t="s">
        <v>60</v>
      </c>
      <c r="J13" s="9" t="s">
        <v>21</v>
      </c>
      <c r="K13" s="26">
        <v>28620</v>
      </c>
    </row>
    <row r="14" spans="2:11" x14ac:dyDescent="0.3">
      <c r="B14" s="9" t="s">
        <v>115</v>
      </c>
      <c r="C14" s="26">
        <v>42</v>
      </c>
      <c r="J14" s="9" t="s">
        <v>37</v>
      </c>
      <c r="K14" s="26">
        <v>66100</v>
      </c>
    </row>
    <row r="15" spans="2:11" x14ac:dyDescent="0.3">
      <c r="B15" s="21" t="s">
        <v>30</v>
      </c>
      <c r="C15" s="26">
        <v>4</v>
      </c>
    </row>
    <row r="16" spans="2:11" x14ac:dyDescent="0.3">
      <c r="B16" s="21" t="s">
        <v>24</v>
      </c>
      <c r="C16" s="26">
        <v>10</v>
      </c>
    </row>
    <row r="17" spans="2:11" x14ac:dyDescent="0.3">
      <c r="B17" s="21" t="s">
        <v>17</v>
      </c>
      <c r="C17" s="26">
        <v>16</v>
      </c>
    </row>
    <row r="18" spans="2:11" x14ac:dyDescent="0.3">
      <c r="B18" s="21" t="s">
        <v>15</v>
      </c>
      <c r="C18" s="26">
        <v>12</v>
      </c>
    </row>
    <row r="19" spans="2:11" x14ac:dyDescent="0.3">
      <c r="B19" s="9" t="s">
        <v>37</v>
      </c>
      <c r="C19" s="26">
        <v>42</v>
      </c>
      <c r="J19" t="s">
        <v>67</v>
      </c>
    </row>
    <row r="22" spans="2:11" x14ac:dyDescent="0.3">
      <c r="B22" t="s">
        <v>61</v>
      </c>
    </row>
    <row r="23" spans="2:11" x14ac:dyDescent="0.3">
      <c r="B23" s="15" t="s">
        <v>8</v>
      </c>
      <c r="C23" t="s">
        <v>58</v>
      </c>
      <c r="J23" s="15" t="s">
        <v>35</v>
      </c>
      <c r="K23" t="s">
        <v>36</v>
      </c>
    </row>
    <row r="24" spans="2:11" x14ac:dyDescent="0.3">
      <c r="J24" s="9" t="s">
        <v>73</v>
      </c>
      <c r="K24" s="26">
        <v>66100</v>
      </c>
    </row>
    <row r="25" spans="2:11" x14ac:dyDescent="0.3">
      <c r="B25" t="s">
        <v>62</v>
      </c>
      <c r="J25" s="9" t="s">
        <v>69</v>
      </c>
      <c r="K25" s="26">
        <v>60880</v>
      </c>
    </row>
    <row r="26" spans="2:11" x14ac:dyDescent="0.3">
      <c r="B26" s="26">
        <v>9990</v>
      </c>
      <c r="J26" s="9" t="s">
        <v>71</v>
      </c>
      <c r="K26" s="26">
        <v>46740</v>
      </c>
    </row>
    <row r="27" spans="2:11" x14ac:dyDescent="0.3">
      <c r="J27" s="9" t="s">
        <v>70</v>
      </c>
      <c r="K27" s="26">
        <v>16200</v>
      </c>
    </row>
    <row r="28" spans="2:11" x14ac:dyDescent="0.3">
      <c r="J28" s="9" t="s">
        <v>72</v>
      </c>
      <c r="K28" s="26">
        <v>360</v>
      </c>
    </row>
    <row r="29" spans="2:11" x14ac:dyDescent="0.3">
      <c r="B29" t="s">
        <v>63</v>
      </c>
      <c r="J29" s="9" t="s">
        <v>37</v>
      </c>
      <c r="K29" s="26">
        <v>190280</v>
      </c>
    </row>
    <row r="32" spans="2:11" x14ac:dyDescent="0.3">
      <c r="B32" s="15" t="s">
        <v>35</v>
      </c>
      <c r="C32" t="s">
        <v>64</v>
      </c>
    </row>
    <row r="33" spans="2:11" x14ac:dyDescent="0.3">
      <c r="B33" s="9">
        <v>24030</v>
      </c>
      <c r="C33" s="26">
        <v>75</v>
      </c>
      <c r="J33" t="s">
        <v>74</v>
      </c>
    </row>
    <row r="34" spans="2:11" x14ac:dyDescent="0.3">
      <c r="B34" s="9">
        <v>24031</v>
      </c>
      <c r="C34" s="26">
        <v>73.333333333333329</v>
      </c>
    </row>
    <row r="35" spans="2:11" x14ac:dyDescent="0.3">
      <c r="B35" s="9">
        <v>25442</v>
      </c>
      <c r="C35" s="26">
        <v>50</v>
      </c>
    </row>
    <row r="36" spans="2:11" x14ac:dyDescent="0.3">
      <c r="B36" s="9">
        <v>28112</v>
      </c>
      <c r="C36" s="26">
        <v>55.714285714285715</v>
      </c>
    </row>
    <row r="37" spans="2:11" x14ac:dyDescent="0.3">
      <c r="B37" s="9">
        <v>44015</v>
      </c>
      <c r="C37" s="26">
        <v>65</v>
      </c>
    </row>
    <row r="38" spans="2:11" x14ac:dyDescent="0.3">
      <c r="B38" s="9">
        <v>44016</v>
      </c>
      <c r="C38" s="26">
        <v>60</v>
      </c>
      <c r="J38" s="15" t="s">
        <v>35</v>
      </c>
      <c r="K38" t="s">
        <v>36</v>
      </c>
    </row>
    <row r="39" spans="2:11" x14ac:dyDescent="0.3">
      <c r="B39" s="9">
        <v>44017</v>
      </c>
      <c r="C39" s="26">
        <v>70</v>
      </c>
      <c r="J39" s="9" t="s">
        <v>115</v>
      </c>
      <c r="K39" s="26"/>
    </row>
    <row r="40" spans="2:11" x14ac:dyDescent="0.3">
      <c r="B40" s="9">
        <v>44030</v>
      </c>
      <c r="C40" s="26">
        <v>60</v>
      </c>
      <c r="J40" s="21" t="s">
        <v>43</v>
      </c>
      <c r="K40" s="26"/>
    </row>
    <row r="41" spans="2:11" x14ac:dyDescent="0.3">
      <c r="B41" s="9">
        <v>44031</v>
      </c>
      <c r="C41" s="26">
        <v>56.666666666666664</v>
      </c>
      <c r="J41" s="23">
        <v>24030</v>
      </c>
      <c r="K41" s="26">
        <v>2240</v>
      </c>
    </row>
    <row r="42" spans="2:11" x14ac:dyDescent="0.3">
      <c r="B42" s="9">
        <v>44032</v>
      </c>
      <c r="C42" s="26">
        <v>65</v>
      </c>
      <c r="J42" s="23">
        <v>24031</v>
      </c>
      <c r="K42" s="26">
        <v>560</v>
      </c>
    </row>
    <row r="43" spans="2:11" x14ac:dyDescent="0.3">
      <c r="B43" s="9">
        <v>45427</v>
      </c>
      <c r="C43" s="26">
        <v>65</v>
      </c>
      <c r="J43" s="23">
        <v>28112</v>
      </c>
      <c r="K43" s="26">
        <v>280</v>
      </c>
    </row>
    <row r="44" spans="2:11" x14ac:dyDescent="0.3">
      <c r="B44" s="9">
        <v>45429</v>
      </c>
      <c r="C44" s="26">
        <v>70</v>
      </c>
      <c r="J44" s="23">
        <v>44015</v>
      </c>
      <c r="K44" s="26">
        <v>1970</v>
      </c>
    </row>
    <row r="45" spans="2:11" x14ac:dyDescent="0.3">
      <c r="B45" s="9">
        <v>45431</v>
      </c>
      <c r="C45" s="26">
        <v>60</v>
      </c>
      <c r="J45" s="23">
        <v>44016</v>
      </c>
      <c r="K45" s="26">
        <v>2300</v>
      </c>
    </row>
    <row r="46" spans="2:11" x14ac:dyDescent="0.3">
      <c r="B46" s="9">
        <v>45442</v>
      </c>
      <c r="C46" s="26">
        <v>55</v>
      </c>
      <c r="J46" s="23">
        <v>44017</v>
      </c>
      <c r="K46" s="26">
        <v>2300</v>
      </c>
    </row>
    <row r="47" spans="2:11" x14ac:dyDescent="0.3">
      <c r="B47" s="9">
        <v>45444</v>
      </c>
      <c r="C47" s="26">
        <v>63.333333333333336</v>
      </c>
      <c r="J47" s="23">
        <v>44030</v>
      </c>
      <c r="K47" s="26">
        <v>1970</v>
      </c>
    </row>
    <row r="48" spans="2:11" x14ac:dyDescent="0.3">
      <c r="B48" s="9">
        <v>45446</v>
      </c>
      <c r="C48" s="26">
        <v>65</v>
      </c>
      <c r="J48" s="23">
        <v>44031</v>
      </c>
      <c r="K48" s="26">
        <v>1970</v>
      </c>
    </row>
    <row r="49" spans="2:11" x14ac:dyDescent="0.3">
      <c r="B49" s="9">
        <v>48097</v>
      </c>
      <c r="C49" s="26">
        <v>65</v>
      </c>
      <c r="J49" s="23">
        <v>44032</v>
      </c>
      <c r="K49" s="26">
        <v>1970</v>
      </c>
    </row>
    <row r="50" spans="2:11" x14ac:dyDescent="0.3">
      <c r="B50" s="9">
        <v>48099</v>
      </c>
      <c r="C50" s="26">
        <v>60</v>
      </c>
      <c r="J50" s="23">
        <v>45427</v>
      </c>
      <c r="K50" s="26">
        <v>2300</v>
      </c>
    </row>
    <row r="51" spans="2:11" x14ac:dyDescent="0.3">
      <c r="B51" s="9">
        <v>48101</v>
      </c>
      <c r="C51" s="26">
        <v>55</v>
      </c>
      <c r="J51" s="23">
        <v>45429</v>
      </c>
      <c r="K51" s="26">
        <v>2630</v>
      </c>
    </row>
    <row r="52" spans="2:11" x14ac:dyDescent="0.3">
      <c r="B52" s="9">
        <v>48112</v>
      </c>
      <c r="C52" s="26">
        <v>55</v>
      </c>
      <c r="J52" s="23">
        <v>45431</v>
      </c>
      <c r="K52" s="26">
        <v>1970</v>
      </c>
    </row>
    <row r="53" spans="2:11" x14ac:dyDescent="0.3">
      <c r="B53" s="9">
        <v>48114</v>
      </c>
      <c r="C53" s="26">
        <v>66.666666666666671</v>
      </c>
      <c r="J53" s="23">
        <v>45442</v>
      </c>
      <c r="K53" s="26">
        <v>1640</v>
      </c>
    </row>
    <row r="54" spans="2:11" x14ac:dyDescent="0.3">
      <c r="B54" s="9">
        <v>48116</v>
      </c>
      <c r="C54" s="26">
        <v>60</v>
      </c>
      <c r="J54" s="23">
        <v>45444</v>
      </c>
      <c r="K54" s="26">
        <v>1970</v>
      </c>
    </row>
    <row r="55" spans="2:11" x14ac:dyDescent="0.3">
      <c r="B55" s="9">
        <v>65627</v>
      </c>
      <c r="C55" s="26">
        <v>150</v>
      </c>
      <c r="J55" s="23">
        <v>45446</v>
      </c>
      <c r="K55" s="26">
        <v>1640</v>
      </c>
    </row>
    <row r="56" spans="2:11" x14ac:dyDescent="0.3">
      <c r="B56" s="9">
        <v>65629</v>
      </c>
      <c r="C56" s="26">
        <v>153.33333333333334</v>
      </c>
      <c r="J56" s="21" t="s">
        <v>42</v>
      </c>
      <c r="K56" s="26"/>
    </row>
    <row r="57" spans="2:11" x14ac:dyDescent="0.3">
      <c r="B57" s="9">
        <v>65631</v>
      </c>
      <c r="C57" s="26">
        <v>155</v>
      </c>
      <c r="J57" s="23">
        <v>24030</v>
      </c>
      <c r="K57" s="26">
        <v>300</v>
      </c>
    </row>
    <row r="58" spans="2:11" x14ac:dyDescent="0.3">
      <c r="B58" s="9">
        <v>65662</v>
      </c>
      <c r="C58" s="26">
        <v>115</v>
      </c>
      <c r="J58" s="23">
        <v>25442</v>
      </c>
      <c r="K58" s="26">
        <v>100</v>
      </c>
    </row>
    <row r="59" spans="2:11" x14ac:dyDescent="0.3">
      <c r="B59" s="9">
        <v>65666</v>
      </c>
      <c r="C59" s="26">
        <v>148</v>
      </c>
      <c r="J59" s="23">
        <v>28112</v>
      </c>
      <c r="K59" s="26">
        <v>350</v>
      </c>
    </row>
    <row r="60" spans="2:11" x14ac:dyDescent="0.3">
      <c r="B60" s="9">
        <v>66015</v>
      </c>
      <c r="C60" s="26">
        <v>140</v>
      </c>
      <c r="J60" s="21" t="s">
        <v>44</v>
      </c>
      <c r="K60" s="26"/>
    </row>
    <row r="61" spans="2:11" x14ac:dyDescent="0.3">
      <c r="B61" s="9">
        <v>66016</v>
      </c>
      <c r="C61" s="26">
        <v>123.33333333333333</v>
      </c>
      <c r="J61" s="23">
        <v>24031</v>
      </c>
      <c r="K61" s="26">
        <v>2500</v>
      </c>
    </row>
    <row r="62" spans="2:11" x14ac:dyDescent="0.3">
      <c r="B62" s="9">
        <v>66017</v>
      </c>
      <c r="C62" s="26">
        <v>140</v>
      </c>
      <c r="J62" s="21" t="s">
        <v>45</v>
      </c>
      <c r="K62" s="26"/>
    </row>
    <row r="63" spans="2:11" x14ac:dyDescent="0.3">
      <c r="B63" s="9">
        <v>66030</v>
      </c>
      <c r="C63" s="26">
        <v>135</v>
      </c>
      <c r="J63" s="23">
        <v>28112</v>
      </c>
      <c r="K63" s="26">
        <v>1250</v>
      </c>
    </row>
    <row r="64" spans="2:11" x14ac:dyDescent="0.3">
      <c r="B64" s="9">
        <v>66031</v>
      </c>
      <c r="C64" s="26">
        <v>130</v>
      </c>
      <c r="J64" s="21" t="s">
        <v>47</v>
      </c>
      <c r="K64" s="26"/>
    </row>
    <row r="65" spans="2:11" x14ac:dyDescent="0.3">
      <c r="B65" s="9">
        <v>66032</v>
      </c>
      <c r="C65" s="26">
        <v>155</v>
      </c>
      <c r="J65" s="23">
        <v>25442</v>
      </c>
      <c r="K65" s="26">
        <v>2520</v>
      </c>
    </row>
    <row r="66" spans="2:11" x14ac:dyDescent="0.3">
      <c r="B66" s="9">
        <v>68097</v>
      </c>
      <c r="C66" s="26">
        <v>135</v>
      </c>
      <c r="J66" s="23">
        <v>28112</v>
      </c>
      <c r="K66" s="26">
        <v>1260</v>
      </c>
    </row>
    <row r="67" spans="2:11" x14ac:dyDescent="0.3">
      <c r="B67" s="9">
        <v>68099</v>
      </c>
      <c r="C67" s="26">
        <v>143.33333333333334</v>
      </c>
      <c r="J67" s="21" t="s">
        <v>46</v>
      </c>
      <c r="K67" s="26"/>
    </row>
    <row r="68" spans="2:11" x14ac:dyDescent="0.3">
      <c r="B68" s="9">
        <v>68101</v>
      </c>
      <c r="C68" s="26">
        <v>165</v>
      </c>
      <c r="J68" s="23">
        <v>25442</v>
      </c>
      <c r="K68" s="26">
        <v>1440</v>
      </c>
    </row>
    <row r="69" spans="2:11" x14ac:dyDescent="0.3">
      <c r="B69" s="9">
        <v>68112</v>
      </c>
      <c r="C69" s="26">
        <v>150</v>
      </c>
      <c r="J69" s="23">
        <v>28112</v>
      </c>
      <c r="K69" s="26">
        <v>1440</v>
      </c>
    </row>
    <row r="70" spans="2:11" x14ac:dyDescent="0.3">
      <c r="B70" s="9">
        <v>68116</v>
      </c>
      <c r="C70" s="26">
        <v>170</v>
      </c>
      <c r="J70" s="21" t="s">
        <v>41</v>
      </c>
      <c r="K70" s="26"/>
    </row>
    <row r="71" spans="2:11" x14ac:dyDescent="0.3">
      <c r="B71" s="9" t="s">
        <v>37</v>
      </c>
      <c r="C71" s="26">
        <v>95.142857142857139</v>
      </c>
      <c r="J71" s="23">
        <v>24030</v>
      </c>
      <c r="K71" s="26">
        <v>360</v>
      </c>
    </row>
    <row r="72" spans="2:11" x14ac:dyDescent="0.3">
      <c r="J72" s="23">
        <v>25442</v>
      </c>
      <c r="K72" s="26">
        <v>120</v>
      </c>
    </row>
    <row r="73" spans="2:11" x14ac:dyDescent="0.3">
      <c r="J73" s="23">
        <v>28112</v>
      </c>
      <c r="K73" s="26">
        <v>840</v>
      </c>
    </row>
    <row r="74" spans="2:11" x14ac:dyDescent="0.3">
      <c r="J74" s="21" t="s">
        <v>40</v>
      </c>
      <c r="K74" s="26"/>
    </row>
    <row r="75" spans="2:11" x14ac:dyDescent="0.3">
      <c r="J75" s="23">
        <v>24030</v>
      </c>
      <c r="K75" s="26">
        <v>1560</v>
      </c>
    </row>
    <row r="76" spans="2:11" x14ac:dyDescent="0.3">
      <c r="B76" t="s">
        <v>78</v>
      </c>
      <c r="J76" s="23">
        <v>24031</v>
      </c>
      <c r="K76" s="26">
        <v>1200</v>
      </c>
    </row>
    <row r="77" spans="2:11" x14ac:dyDescent="0.3">
      <c r="J77" s="23">
        <v>25442</v>
      </c>
      <c r="K77" s="26">
        <v>480</v>
      </c>
    </row>
    <row r="78" spans="2:11" x14ac:dyDescent="0.3">
      <c r="J78" s="23">
        <v>28112</v>
      </c>
      <c r="K78" s="26">
        <v>480</v>
      </c>
    </row>
    <row r="79" spans="2:11" x14ac:dyDescent="0.3">
      <c r="J79" s="21" t="s">
        <v>48</v>
      </c>
      <c r="K79" s="26"/>
    </row>
    <row r="80" spans="2:11" x14ac:dyDescent="0.3">
      <c r="B80" s="15" t="s">
        <v>35</v>
      </c>
      <c r="C80" t="s">
        <v>79</v>
      </c>
      <c r="J80" s="23">
        <v>25442</v>
      </c>
      <c r="K80" s="26">
        <v>360</v>
      </c>
    </row>
    <row r="81" spans="2:11" x14ac:dyDescent="0.3">
      <c r="B81" s="9" t="s">
        <v>54</v>
      </c>
      <c r="C81">
        <v>8</v>
      </c>
      <c r="J81" s="21" t="s">
        <v>30</v>
      </c>
      <c r="K81" s="26"/>
    </row>
    <row r="82" spans="2:11" x14ac:dyDescent="0.3">
      <c r="B82" s="9" t="s">
        <v>14</v>
      </c>
      <c r="C82">
        <v>11</v>
      </c>
      <c r="J82" s="23">
        <v>65631</v>
      </c>
      <c r="K82" s="26">
        <v>950</v>
      </c>
    </row>
    <row r="83" spans="2:11" x14ac:dyDescent="0.3">
      <c r="B83" s="9" t="s">
        <v>21</v>
      </c>
      <c r="C83">
        <v>11</v>
      </c>
      <c r="J83" s="23">
        <v>65666</v>
      </c>
      <c r="K83" s="26">
        <v>600</v>
      </c>
    </row>
    <row r="84" spans="2:11" x14ac:dyDescent="0.3">
      <c r="B84" s="9" t="s">
        <v>52</v>
      </c>
      <c r="C84">
        <v>10</v>
      </c>
      <c r="J84" s="23">
        <v>68099</v>
      </c>
      <c r="K84" s="26">
        <v>850</v>
      </c>
    </row>
    <row r="85" spans="2:11" x14ac:dyDescent="0.3">
      <c r="B85" s="9" t="s">
        <v>37</v>
      </c>
      <c r="C85">
        <v>38</v>
      </c>
      <c r="J85" s="23">
        <v>68116</v>
      </c>
      <c r="K85" s="26">
        <v>800</v>
      </c>
    </row>
    <row r="86" spans="2:11" x14ac:dyDescent="0.3">
      <c r="J86" s="21" t="s">
        <v>24</v>
      </c>
      <c r="K86" s="26"/>
    </row>
    <row r="87" spans="2:11" x14ac:dyDescent="0.3">
      <c r="J87" s="23">
        <v>65629</v>
      </c>
      <c r="K87" s="26">
        <v>1400</v>
      </c>
    </row>
    <row r="88" spans="2:11" x14ac:dyDescent="0.3">
      <c r="J88" s="23">
        <v>65666</v>
      </c>
      <c r="K88" s="26">
        <v>1600</v>
      </c>
    </row>
    <row r="89" spans="2:11" x14ac:dyDescent="0.3">
      <c r="J89" s="23">
        <v>66016</v>
      </c>
      <c r="K89" s="26">
        <v>1200</v>
      </c>
    </row>
    <row r="90" spans="2:11" x14ac:dyDescent="0.3">
      <c r="B90" t="s">
        <v>80</v>
      </c>
      <c r="J90" s="23">
        <v>66031</v>
      </c>
      <c r="K90" s="26">
        <v>1000</v>
      </c>
    </row>
    <row r="91" spans="2:11" x14ac:dyDescent="0.3">
      <c r="J91" s="23">
        <v>68097</v>
      </c>
      <c r="K91" s="26">
        <v>1300</v>
      </c>
    </row>
    <row r="92" spans="2:11" x14ac:dyDescent="0.3">
      <c r="J92" s="23">
        <v>68099</v>
      </c>
      <c r="K92" s="26">
        <v>1400</v>
      </c>
    </row>
    <row r="93" spans="2:11" x14ac:dyDescent="0.3">
      <c r="J93" s="23">
        <v>68101</v>
      </c>
      <c r="K93" s="26">
        <v>1400</v>
      </c>
    </row>
    <row r="94" spans="2:11" x14ac:dyDescent="0.3">
      <c r="J94" s="23">
        <v>68112</v>
      </c>
      <c r="K94" s="26">
        <v>1200</v>
      </c>
    </row>
    <row r="95" spans="2:11" x14ac:dyDescent="0.3">
      <c r="B95" s="15" t="s">
        <v>35</v>
      </c>
      <c r="C95" t="s">
        <v>62</v>
      </c>
      <c r="J95" s="23">
        <v>68116</v>
      </c>
      <c r="K95" s="26">
        <v>3800</v>
      </c>
    </row>
    <row r="96" spans="2:11" x14ac:dyDescent="0.3">
      <c r="B96" s="9" t="s">
        <v>54</v>
      </c>
      <c r="C96" s="26">
        <v>1220</v>
      </c>
      <c r="J96" s="21" t="s">
        <v>17</v>
      </c>
      <c r="K96" s="26"/>
    </row>
    <row r="97" spans="2:11" x14ac:dyDescent="0.3">
      <c r="B97" s="21">
        <v>44016</v>
      </c>
      <c r="C97" s="26">
        <v>180</v>
      </c>
      <c r="J97" s="23">
        <v>65627</v>
      </c>
      <c r="K97" s="26">
        <v>1920</v>
      </c>
    </row>
    <row r="98" spans="2:11" x14ac:dyDescent="0.3">
      <c r="B98" s="23" t="s">
        <v>115</v>
      </c>
      <c r="C98" s="26">
        <v>70</v>
      </c>
      <c r="J98" s="23">
        <v>65629</v>
      </c>
      <c r="K98" s="26">
        <v>1560</v>
      </c>
    </row>
    <row r="99" spans="2:11" x14ac:dyDescent="0.3">
      <c r="B99" s="27" t="s">
        <v>43</v>
      </c>
      <c r="C99" s="26">
        <v>70</v>
      </c>
      <c r="J99" s="23">
        <v>65662</v>
      </c>
      <c r="K99" s="26">
        <v>1320</v>
      </c>
    </row>
    <row r="100" spans="2:11" x14ac:dyDescent="0.3">
      <c r="B100" s="23" t="s">
        <v>53</v>
      </c>
      <c r="C100" s="26">
        <v>60</v>
      </c>
      <c r="J100" s="23">
        <v>65666</v>
      </c>
      <c r="K100" s="26">
        <v>1680</v>
      </c>
    </row>
    <row r="101" spans="2:11" x14ac:dyDescent="0.3">
      <c r="B101" s="27" t="s">
        <v>53</v>
      </c>
      <c r="C101" s="26">
        <v>60</v>
      </c>
      <c r="J101" s="23">
        <v>66015</v>
      </c>
      <c r="K101" s="26">
        <v>1680</v>
      </c>
    </row>
    <row r="102" spans="2:11" x14ac:dyDescent="0.3">
      <c r="B102" s="23" t="s">
        <v>55</v>
      </c>
      <c r="C102" s="26">
        <v>50</v>
      </c>
      <c r="J102" s="23">
        <v>66016</v>
      </c>
      <c r="K102" s="26">
        <v>1560</v>
      </c>
    </row>
    <row r="103" spans="2:11" x14ac:dyDescent="0.3">
      <c r="B103" s="27" t="s">
        <v>55</v>
      </c>
      <c r="C103" s="26">
        <v>50</v>
      </c>
      <c r="J103" s="23">
        <v>66017</v>
      </c>
      <c r="K103" s="26">
        <v>1680</v>
      </c>
    </row>
    <row r="104" spans="2:11" x14ac:dyDescent="0.3">
      <c r="B104" s="21">
        <v>44031</v>
      </c>
      <c r="C104" s="26">
        <v>170</v>
      </c>
      <c r="J104" s="23">
        <v>66030</v>
      </c>
      <c r="K104" s="26">
        <v>1800</v>
      </c>
    </row>
    <row r="105" spans="2:11" x14ac:dyDescent="0.3">
      <c r="B105" s="23" t="s">
        <v>115</v>
      </c>
      <c r="C105" s="26">
        <v>60</v>
      </c>
      <c r="J105" s="23">
        <v>66031</v>
      </c>
      <c r="K105" s="26">
        <v>1800</v>
      </c>
    </row>
    <row r="106" spans="2:11" x14ac:dyDescent="0.3">
      <c r="B106" s="27" t="s">
        <v>43</v>
      </c>
      <c r="C106" s="26">
        <v>60</v>
      </c>
      <c r="J106" s="23">
        <v>66032</v>
      </c>
      <c r="K106" s="26">
        <v>1680</v>
      </c>
    </row>
    <row r="107" spans="2:11" x14ac:dyDescent="0.3">
      <c r="B107" s="23" t="s">
        <v>53</v>
      </c>
      <c r="C107" s="26">
        <v>50</v>
      </c>
      <c r="J107" s="23">
        <v>68097</v>
      </c>
      <c r="K107" s="26">
        <v>1680</v>
      </c>
    </row>
    <row r="108" spans="2:11" x14ac:dyDescent="0.3">
      <c r="B108" s="27" t="s">
        <v>53</v>
      </c>
      <c r="C108" s="26">
        <v>50</v>
      </c>
      <c r="J108" s="23">
        <v>68099</v>
      </c>
      <c r="K108" s="26">
        <v>1440</v>
      </c>
    </row>
    <row r="109" spans="2:11" x14ac:dyDescent="0.3">
      <c r="B109" s="23" t="s">
        <v>55</v>
      </c>
      <c r="C109" s="26">
        <v>60</v>
      </c>
      <c r="J109" s="23">
        <v>68101</v>
      </c>
      <c r="K109" s="26">
        <v>2280</v>
      </c>
    </row>
    <row r="110" spans="2:11" x14ac:dyDescent="0.3">
      <c r="B110" s="27" t="s">
        <v>55</v>
      </c>
      <c r="C110" s="26">
        <v>60</v>
      </c>
      <c r="J110" s="23">
        <v>68112</v>
      </c>
      <c r="K110" s="26">
        <v>2160</v>
      </c>
    </row>
    <row r="111" spans="2:11" x14ac:dyDescent="0.3">
      <c r="B111" s="21">
        <v>45427</v>
      </c>
      <c r="C111" s="26">
        <v>130</v>
      </c>
      <c r="J111" s="23">
        <v>68116</v>
      </c>
      <c r="K111" s="26">
        <v>3720</v>
      </c>
    </row>
    <row r="112" spans="2:11" x14ac:dyDescent="0.3">
      <c r="B112" s="23" t="s">
        <v>115</v>
      </c>
      <c r="C112" s="26">
        <v>70</v>
      </c>
      <c r="J112" s="21" t="s">
        <v>15</v>
      </c>
      <c r="K112" s="26"/>
    </row>
    <row r="113" spans="2:11" x14ac:dyDescent="0.3">
      <c r="B113" s="27" t="s">
        <v>43</v>
      </c>
      <c r="C113" s="26">
        <v>70</v>
      </c>
      <c r="J113" s="23">
        <v>65627</v>
      </c>
      <c r="K113" s="26">
        <v>1680</v>
      </c>
    </row>
    <row r="114" spans="2:11" x14ac:dyDescent="0.3">
      <c r="B114" s="23" t="s">
        <v>53</v>
      </c>
      <c r="C114" s="26">
        <v>60</v>
      </c>
      <c r="J114" s="23">
        <v>65629</v>
      </c>
      <c r="K114" s="26">
        <v>2280</v>
      </c>
    </row>
    <row r="115" spans="2:11" x14ac:dyDescent="0.3">
      <c r="B115" s="27" t="s">
        <v>53</v>
      </c>
      <c r="C115" s="26">
        <v>60</v>
      </c>
      <c r="J115" s="23">
        <v>65631</v>
      </c>
      <c r="K115" s="26">
        <v>1440</v>
      </c>
    </row>
    <row r="116" spans="2:11" x14ac:dyDescent="0.3">
      <c r="B116" s="21">
        <v>45431</v>
      </c>
      <c r="C116" s="26">
        <v>120</v>
      </c>
      <c r="J116" s="23">
        <v>65662</v>
      </c>
      <c r="K116" s="26">
        <v>1440</v>
      </c>
    </row>
    <row r="117" spans="2:11" x14ac:dyDescent="0.3">
      <c r="B117" s="23" t="s">
        <v>115</v>
      </c>
      <c r="C117" s="26">
        <v>60</v>
      </c>
      <c r="J117" s="23">
        <v>65666</v>
      </c>
      <c r="K117" s="26">
        <v>3840</v>
      </c>
    </row>
    <row r="118" spans="2:11" x14ac:dyDescent="0.3">
      <c r="B118" s="27" t="s">
        <v>43</v>
      </c>
      <c r="C118" s="26">
        <v>60</v>
      </c>
      <c r="J118" s="23">
        <v>66015</v>
      </c>
      <c r="K118" s="26">
        <v>1680</v>
      </c>
    </row>
    <row r="119" spans="2:11" x14ac:dyDescent="0.3">
      <c r="B119" s="23" t="s">
        <v>56</v>
      </c>
      <c r="C119" s="26">
        <v>60</v>
      </c>
      <c r="J119" s="23">
        <v>66016</v>
      </c>
      <c r="K119" s="26">
        <v>1440</v>
      </c>
    </row>
    <row r="120" spans="2:11" x14ac:dyDescent="0.3">
      <c r="B120" s="27" t="s">
        <v>56</v>
      </c>
      <c r="C120" s="26">
        <v>60</v>
      </c>
      <c r="J120" s="23">
        <v>66017</v>
      </c>
      <c r="K120" s="26">
        <v>1680</v>
      </c>
    </row>
    <row r="121" spans="2:11" x14ac:dyDescent="0.3">
      <c r="B121" s="21">
        <v>45442</v>
      </c>
      <c r="C121" s="26">
        <v>110</v>
      </c>
      <c r="J121" s="23">
        <v>66030</v>
      </c>
      <c r="K121" s="26">
        <v>1440</v>
      </c>
    </row>
    <row r="122" spans="2:11" x14ac:dyDescent="0.3">
      <c r="B122" s="23" t="s">
        <v>115</v>
      </c>
      <c r="C122" s="26">
        <v>50</v>
      </c>
      <c r="J122" s="23">
        <v>66031</v>
      </c>
      <c r="K122" s="26">
        <v>1680</v>
      </c>
    </row>
    <row r="123" spans="2:11" x14ac:dyDescent="0.3">
      <c r="B123" s="27" t="s">
        <v>43</v>
      </c>
      <c r="C123" s="26">
        <v>50</v>
      </c>
      <c r="J123" s="23">
        <v>66032</v>
      </c>
      <c r="K123" s="26">
        <v>2040</v>
      </c>
    </row>
    <row r="124" spans="2:11" x14ac:dyDescent="0.3">
      <c r="B124" s="23" t="s">
        <v>53</v>
      </c>
      <c r="C124" s="26">
        <v>60</v>
      </c>
      <c r="J124" s="9" t="s">
        <v>53</v>
      </c>
      <c r="K124" s="26"/>
    </row>
    <row r="125" spans="2:11" x14ac:dyDescent="0.3">
      <c r="B125" s="27" t="s">
        <v>53</v>
      </c>
      <c r="C125" s="26">
        <v>60</v>
      </c>
      <c r="J125" s="21" t="s">
        <v>53</v>
      </c>
      <c r="K125" s="26"/>
    </row>
    <row r="126" spans="2:11" x14ac:dyDescent="0.3">
      <c r="B126" s="21">
        <v>45446</v>
      </c>
      <c r="C126" s="26">
        <v>130</v>
      </c>
      <c r="J126" s="23">
        <v>44015</v>
      </c>
      <c r="K126" s="26">
        <v>2300</v>
      </c>
    </row>
    <row r="127" spans="2:11" x14ac:dyDescent="0.3">
      <c r="B127" s="23" t="s">
        <v>115</v>
      </c>
      <c r="C127" s="26">
        <v>50</v>
      </c>
      <c r="J127" s="23">
        <v>44016</v>
      </c>
      <c r="K127" s="26">
        <v>1970</v>
      </c>
    </row>
    <row r="128" spans="2:11" x14ac:dyDescent="0.3">
      <c r="B128" s="27" t="s">
        <v>43</v>
      </c>
      <c r="C128" s="26">
        <v>50</v>
      </c>
      <c r="J128" s="23">
        <v>44017</v>
      </c>
      <c r="K128" s="26">
        <v>2300</v>
      </c>
    </row>
    <row r="129" spans="2:11" x14ac:dyDescent="0.3">
      <c r="B129" s="23" t="s">
        <v>56</v>
      </c>
      <c r="C129" s="26">
        <v>80</v>
      </c>
      <c r="J129" s="23">
        <v>44030</v>
      </c>
      <c r="K129" s="26">
        <v>1970</v>
      </c>
    </row>
    <row r="130" spans="2:11" x14ac:dyDescent="0.3">
      <c r="B130" s="27" t="s">
        <v>56</v>
      </c>
      <c r="C130" s="26">
        <v>80</v>
      </c>
      <c r="J130" s="23">
        <v>44031</v>
      </c>
      <c r="K130" s="26">
        <v>1640</v>
      </c>
    </row>
    <row r="131" spans="2:11" x14ac:dyDescent="0.3">
      <c r="B131" s="21">
        <v>48099</v>
      </c>
      <c r="C131" s="26">
        <v>180</v>
      </c>
      <c r="J131" s="23">
        <v>44032</v>
      </c>
      <c r="K131" s="26">
        <v>2300</v>
      </c>
    </row>
    <row r="132" spans="2:11" x14ac:dyDescent="0.3">
      <c r="B132" s="23" t="s">
        <v>53</v>
      </c>
      <c r="C132" s="26">
        <v>60</v>
      </c>
      <c r="J132" s="23">
        <v>45427</v>
      </c>
      <c r="K132" s="26">
        <v>1970</v>
      </c>
    </row>
    <row r="133" spans="2:11" x14ac:dyDescent="0.3">
      <c r="B133" s="27" t="s">
        <v>53</v>
      </c>
      <c r="C133" s="26">
        <v>60</v>
      </c>
      <c r="J133" s="23">
        <v>45429</v>
      </c>
      <c r="K133" s="26">
        <v>2630</v>
      </c>
    </row>
    <row r="134" spans="2:11" x14ac:dyDescent="0.3">
      <c r="B134" s="23" t="s">
        <v>55</v>
      </c>
      <c r="C134" s="26">
        <v>60</v>
      </c>
      <c r="J134" s="23">
        <v>45442</v>
      </c>
      <c r="K134" s="26">
        <v>1970</v>
      </c>
    </row>
    <row r="135" spans="2:11" x14ac:dyDescent="0.3">
      <c r="B135" s="27" t="s">
        <v>55</v>
      </c>
      <c r="C135" s="26">
        <v>60</v>
      </c>
      <c r="J135" s="23">
        <v>45444</v>
      </c>
      <c r="K135" s="26">
        <v>2300</v>
      </c>
    </row>
    <row r="136" spans="2:11" x14ac:dyDescent="0.3">
      <c r="B136" s="23" t="s">
        <v>56</v>
      </c>
      <c r="C136" s="26">
        <v>60</v>
      </c>
      <c r="J136" s="23">
        <v>48097</v>
      </c>
      <c r="K136" s="26">
        <v>1970</v>
      </c>
    </row>
    <row r="137" spans="2:11" x14ac:dyDescent="0.3">
      <c r="B137" s="27" t="s">
        <v>56</v>
      </c>
      <c r="C137" s="26">
        <v>60</v>
      </c>
      <c r="J137" s="23">
        <v>48099</v>
      </c>
      <c r="K137" s="26">
        <v>1970</v>
      </c>
    </row>
    <row r="138" spans="2:11" x14ac:dyDescent="0.3">
      <c r="B138" s="21">
        <v>48114</v>
      </c>
      <c r="C138" s="26">
        <v>200</v>
      </c>
      <c r="J138" s="23">
        <v>48101</v>
      </c>
      <c r="K138" s="26">
        <v>1970</v>
      </c>
    </row>
    <row r="139" spans="2:11" x14ac:dyDescent="0.3">
      <c r="B139" s="23" t="s">
        <v>53</v>
      </c>
      <c r="C139" s="26">
        <v>60</v>
      </c>
      <c r="J139" s="23">
        <v>48112</v>
      </c>
      <c r="K139" s="26">
        <v>1970</v>
      </c>
    </row>
    <row r="140" spans="2:11" x14ac:dyDescent="0.3">
      <c r="B140" s="27" t="s">
        <v>53</v>
      </c>
      <c r="C140" s="26">
        <v>60</v>
      </c>
      <c r="J140" s="23">
        <v>48114</v>
      </c>
      <c r="K140" s="26">
        <v>1970</v>
      </c>
    </row>
    <row r="141" spans="2:11" x14ac:dyDescent="0.3">
      <c r="B141" s="23" t="s">
        <v>55</v>
      </c>
      <c r="C141" s="26">
        <v>60</v>
      </c>
      <c r="J141" s="23">
        <v>48116</v>
      </c>
      <c r="K141" s="26">
        <v>1970</v>
      </c>
    </row>
    <row r="142" spans="2:11" x14ac:dyDescent="0.3">
      <c r="B142" s="27" t="s">
        <v>55</v>
      </c>
      <c r="C142" s="26">
        <v>60</v>
      </c>
      <c r="J142" s="9" t="s">
        <v>55</v>
      </c>
      <c r="K142" s="26"/>
    </row>
    <row r="143" spans="2:11" x14ac:dyDescent="0.3">
      <c r="B143" s="23" t="s">
        <v>56</v>
      </c>
      <c r="C143" s="26">
        <v>80</v>
      </c>
      <c r="J143" s="21" t="s">
        <v>55</v>
      </c>
      <c r="K143" s="26"/>
    </row>
    <row r="144" spans="2:11" x14ac:dyDescent="0.3">
      <c r="B144" s="27" t="s">
        <v>56</v>
      </c>
      <c r="C144" s="26">
        <v>80</v>
      </c>
      <c r="J144" s="23">
        <v>44016</v>
      </c>
      <c r="K144" s="26">
        <v>3520</v>
      </c>
    </row>
    <row r="145" spans="2:11" x14ac:dyDescent="0.3">
      <c r="B145" s="9" t="s">
        <v>14</v>
      </c>
      <c r="C145" s="26">
        <v>3620</v>
      </c>
      <c r="J145" s="23">
        <v>44031</v>
      </c>
      <c r="K145" s="26">
        <v>4230</v>
      </c>
    </row>
    <row r="146" spans="2:11" x14ac:dyDescent="0.3">
      <c r="B146" s="21">
        <v>25442</v>
      </c>
      <c r="C146" s="26">
        <v>350</v>
      </c>
      <c r="J146" s="23">
        <v>45429</v>
      </c>
      <c r="K146" s="26">
        <v>3520</v>
      </c>
    </row>
    <row r="147" spans="2:11" x14ac:dyDescent="0.3">
      <c r="B147" s="23" t="s">
        <v>115</v>
      </c>
      <c r="C147" s="26">
        <v>350</v>
      </c>
      <c r="J147" s="23">
        <v>45444</v>
      </c>
      <c r="K147" s="26">
        <v>4230</v>
      </c>
    </row>
    <row r="148" spans="2:11" x14ac:dyDescent="0.3">
      <c r="B148" s="27" t="s">
        <v>42</v>
      </c>
      <c r="C148" s="26">
        <v>20</v>
      </c>
      <c r="J148" s="23">
        <v>48097</v>
      </c>
      <c r="K148" s="26">
        <v>4930</v>
      </c>
    </row>
    <row r="149" spans="2:11" x14ac:dyDescent="0.3">
      <c r="B149" s="27" t="s">
        <v>47</v>
      </c>
      <c r="C149" s="26">
        <v>140</v>
      </c>
      <c r="J149" s="23">
        <v>48099</v>
      </c>
      <c r="K149" s="26">
        <v>4230</v>
      </c>
    </row>
    <row r="150" spans="2:11" x14ac:dyDescent="0.3">
      <c r="B150" s="27" t="s">
        <v>46</v>
      </c>
      <c r="C150" s="26">
        <v>80</v>
      </c>
      <c r="J150" s="23">
        <v>48101</v>
      </c>
      <c r="K150" s="26">
        <v>3520</v>
      </c>
    </row>
    <row r="151" spans="2:11" x14ac:dyDescent="0.3">
      <c r="B151" s="27" t="s">
        <v>41</v>
      </c>
      <c r="C151" s="26">
        <v>10</v>
      </c>
      <c r="J151" s="23">
        <v>48112</v>
      </c>
      <c r="K151" s="26">
        <v>3520</v>
      </c>
    </row>
    <row r="152" spans="2:11" x14ac:dyDescent="0.3">
      <c r="B152" s="27" t="s">
        <v>40</v>
      </c>
      <c r="C152" s="26">
        <v>40</v>
      </c>
      <c r="J152" s="23">
        <v>48114</v>
      </c>
      <c r="K152" s="26">
        <v>4230</v>
      </c>
    </row>
    <row r="153" spans="2:11" x14ac:dyDescent="0.3">
      <c r="B153" s="27" t="s">
        <v>48</v>
      </c>
      <c r="C153" s="26">
        <v>60</v>
      </c>
      <c r="J153" s="23">
        <v>48116</v>
      </c>
      <c r="K153" s="26">
        <v>4230</v>
      </c>
    </row>
    <row r="154" spans="2:11" x14ac:dyDescent="0.3">
      <c r="B154" s="21">
        <v>65629</v>
      </c>
      <c r="C154" s="26">
        <v>460</v>
      </c>
      <c r="J154" s="9" t="s">
        <v>56</v>
      </c>
      <c r="K154" s="26"/>
    </row>
    <row r="155" spans="2:11" x14ac:dyDescent="0.3">
      <c r="B155" s="23" t="s">
        <v>115</v>
      </c>
      <c r="C155" s="26">
        <v>460</v>
      </c>
      <c r="J155" s="21" t="s">
        <v>56</v>
      </c>
      <c r="K155" s="26"/>
    </row>
    <row r="156" spans="2:11" x14ac:dyDescent="0.3">
      <c r="B156" s="27" t="s">
        <v>24</v>
      </c>
      <c r="C156" s="26">
        <v>140</v>
      </c>
      <c r="J156" s="23">
        <v>45431</v>
      </c>
      <c r="K156" s="26">
        <v>1410</v>
      </c>
    </row>
    <row r="157" spans="2:11" x14ac:dyDescent="0.3">
      <c r="B157" s="27" t="s">
        <v>17</v>
      </c>
      <c r="C157" s="26">
        <v>130</v>
      </c>
      <c r="J157" s="23">
        <v>45446</v>
      </c>
      <c r="K157" s="26">
        <v>1880</v>
      </c>
    </row>
    <row r="158" spans="2:11" x14ac:dyDescent="0.3">
      <c r="B158" s="27" t="s">
        <v>15</v>
      </c>
      <c r="C158" s="26">
        <v>190</v>
      </c>
      <c r="J158" s="23">
        <v>48099</v>
      </c>
      <c r="K158" s="26">
        <v>1410</v>
      </c>
    </row>
    <row r="159" spans="2:11" x14ac:dyDescent="0.3">
      <c r="B159" s="21">
        <v>65666</v>
      </c>
      <c r="C159" s="26">
        <v>420</v>
      </c>
      <c r="J159" s="23">
        <v>48114</v>
      </c>
      <c r="K159" s="26">
        <v>1880</v>
      </c>
    </row>
    <row r="160" spans="2:11" x14ac:dyDescent="0.3">
      <c r="B160" s="23" t="s">
        <v>115</v>
      </c>
      <c r="C160" s="26">
        <v>420</v>
      </c>
    </row>
    <row r="161" spans="2:12" x14ac:dyDescent="0.3">
      <c r="B161" s="27" t="s">
        <v>24</v>
      </c>
      <c r="C161" s="26">
        <v>160</v>
      </c>
    </row>
    <row r="162" spans="2:12" x14ac:dyDescent="0.3">
      <c r="B162" s="27" t="s">
        <v>17</v>
      </c>
      <c r="C162" s="26">
        <v>140</v>
      </c>
      <c r="F162" t="s">
        <v>82</v>
      </c>
      <c r="K162" t="s">
        <v>111</v>
      </c>
    </row>
    <row r="163" spans="2:12" x14ac:dyDescent="0.3">
      <c r="B163" s="27" t="s">
        <v>15</v>
      </c>
      <c r="C163" s="26">
        <v>120</v>
      </c>
    </row>
    <row r="164" spans="2:12" x14ac:dyDescent="0.3">
      <c r="B164" s="21">
        <v>66015</v>
      </c>
      <c r="C164" s="26">
        <v>280</v>
      </c>
    </row>
    <row r="165" spans="2:12" x14ac:dyDescent="0.3">
      <c r="B165" s="23" t="s">
        <v>115</v>
      </c>
      <c r="C165" s="26">
        <v>280</v>
      </c>
      <c r="F165" s="15" t="s">
        <v>35</v>
      </c>
      <c r="G165" t="s">
        <v>36</v>
      </c>
    </row>
    <row r="166" spans="2:12" x14ac:dyDescent="0.3">
      <c r="B166" s="27" t="s">
        <v>17</v>
      </c>
      <c r="C166" s="26">
        <v>140</v>
      </c>
      <c r="F166" s="9" t="s">
        <v>91</v>
      </c>
      <c r="G166" s="26">
        <v>13660</v>
      </c>
      <c r="K166" s="15" t="s">
        <v>35</v>
      </c>
      <c r="L166" t="s">
        <v>36</v>
      </c>
    </row>
    <row r="167" spans="2:12" x14ac:dyDescent="0.3">
      <c r="B167" s="27" t="s">
        <v>15</v>
      </c>
      <c r="C167" s="26">
        <v>140</v>
      </c>
      <c r="F167" s="9" t="s">
        <v>90</v>
      </c>
      <c r="G167" s="26">
        <v>9320</v>
      </c>
      <c r="K167" s="9">
        <v>45429</v>
      </c>
      <c r="L167" s="26">
        <v>8780</v>
      </c>
    </row>
    <row r="168" spans="2:12" x14ac:dyDescent="0.3">
      <c r="B168" s="21">
        <v>66017</v>
      </c>
      <c r="C168" s="26">
        <v>280</v>
      </c>
      <c r="F168" s="9" t="s">
        <v>89</v>
      </c>
      <c r="G168" s="26">
        <v>7730</v>
      </c>
      <c r="K168" s="21" t="s">
        <v>52</v>
      </c>
      <c r="L168" s="26">
        <v>8780</v>
      </c>
    </row>
    <row r="169" spans="2:12" x14ac:dyDescent="0.3">
      <c r="B169" s="23" t="s">
        <v>115</v>
      </c>
      <c r="C169" s="26">
        <v>280</v>
      </c>
      <c r="F169" s="9" t="s">
        <v>88</v>
      </c>
      <c r="G169" s="26">
        <v>2960</v>
      </c>
      <c r="K169" s="9">
        <v>45444</v>
      </c>
      <c r="L169" s="26">
        <v>8500</v>
      </c>
    </row>
    <row r="170" spans="2:12" x14ac:dyDescent="0.3">
      <c r="B170" s="27" t="s">
        <v>17</v>
      </c>
      <c r="C170" s="26">
        <v>140</v>
      </c>
      <c r="F170" s="9" t="s">
        <v>87</v>
      </c>
      <c r="G170" s="26">
        <v>1800</v>
      </c>
      <c r="K170" s="21" t="s">
        <v>52</v>
      </c>
      <c r="L170" s="26">
        <v>8500</v>
      </c>
    </row>
    <row r="171" spans="2:12" x14ac:dyDescent="0.3">
      <c r="B171" s="27" t="s">
        <v>15</v>
      </c>
      <c r="C171" s="26">
        <v>140</v>
      </c>
      <c r="F171" s="9" t="s">
        <v>86</v>
      </c>
      <c r="G171" s="26">
        <v>3840</v>
      </c>
      <c r="K171" s="9">
        <v>68116</v>
      </c>
      <c r="L171" s="26">
        <v>8320</v>
      </c>
    </row>
    <row r="172" spans="2:12" x14ac:dyDescent="0.3">
      <c r="B172" s="21">
        <v>66030</v>
      </c>
      <c r="C172" s="26">
        <v>270</v>
      </c>
      <c r="F172" s="9" t="s">
        <v>85</v>
      </c>
      <c r="G172" s="26">
        <v>1980</v>
      </c>
      <c r="K172" s="21" t="s">
        <v>14</v>
      </c>
      <c r="L172" s="26">
        <v>3820</v>
      </c>
    </row>
    <row r="173" spans="2:12" x14ac:dyDescent="0.3">
      <c r="B173" s="23" t="s">
        <v>115</v>
      </c>
      <c r="C173" s="26">
        <v>270</v>
      </c>
      <c r="F173" s="9" t="s">
        <v>110</v>
      </c>
      <c r="G173" s="26">
        <v>4930</v>
      </c>
      <c r="K173" s="21" t="s">
        <v>21</v>
      </c>
      <c r="L173" s="26">
        <v>4500</v>
      </c>
    </row>
    <row r="174" spans="2:12" x14ac:dyDescent="0.3">
      <c r="B174" s="27" t="s">
        <v>17</v>
      </c>
      <c r="C174" s="26">
        <v>150</v>
      </c>
      <c r="F174" s="9" t="s">
        <v>84</v>
      </c>
      <c r="G174" s="26">
        <v>12990</v>
      </c>
      <c r="K174" s="9">
        <v>48114</v>
      </c>
      <c r="L174" s="26">
        <v>8080</v>
      </c>
    </row>
    <row r="175" spans="2:12" x14ac:dyDescent="0.3">
      <c r="B175" s="27" t="s">
        <v>15</v>
      </c>
      <c r="C175" s="26">
        <v>120</v>
      </c>
      <c r="F175" s="9" t="s">
        <v>109</v>
      </c>
      <c r="G175" s="26">
        <v>1970</v>
      </c>
      <c r="K175" s="21" t="s">
        <v>54</v>
      </c>
      <c r="L175" s="26">
        <v>8080</v>
      </c>
    </row>
    <row r="176" spans="2:12" x14ac:dyDescent="0.3">
      <c r="B176" s="21">
        <v>66032</v>
      </c>
      <c r="C176" s="26">
        <v>310</v>
      </c>
      <c r="F176" s="9" t="s">
        <v>108</v>
      </c>
      <c r="G176" s="26">
        <v>1970</v>
      </c>
      <c r="K176" s="9">
        <v>44031</v>
      </c>
      <c r="L176" s="26">
        <v>7840</v>
      </c>
    </row>
    <row r="177" spans="2:12" x14ac:dyDescent="0.3">
      <c r="B177" s="23" t="s">
        <v>115</v>
      </c>
      <c r="C177" s="26">
        <v>310</v>
      </c>
      <c r="F177" s="9" t="s">
        <v>107</v>
      </c>
      <c r="G177" s="26">
        <v>3710</v>
      </c>
      <c r="K177" s="21" t="s">
        <v>54</v>
      </c>
      <c r="L177" s="26">
        <v>7840</v>
      </c>
    </row>
    <row r="178" spans="2:12" x14ac:dyDescent="0.3">
      <c r="B178" s="27" t="s">
        <v>17</v>
      </c>
      <c r="C178" s="26">
        <v>140</v>
      </c>
      <c r="F178" s="9" t="s">
        <v>106</v>
      </c>
      <c r="G178" s="26">
        <v>3520</v>
      </c>
      <c r="K178" s="9">
        <v>44016</v>
      </c>
      <c r="L178" s="26">
        <v>7790</v>
      </c>
    </row>
    <row r="179" spans="2:12" x14ac:dyDescent="0.3">
      <c r="B179" s="27" t="s">
        <v>15</v>
      </c>
      <c r="C179" s="26">
        <v>170</v>
      </c>
      <c r="F179" s="9" t="s">
        <v>105</v>
      </c>
      <c r="G179" s="26">
        <v>9890</v>
      </c>
      <c r="K179" s="21" t="s">
        <v>54</v>
      </c>
      <c r="L179" s="26">
        <v>7790</v>
      </c>
    </row>
    <row r="180" spans="2:12" x14ac:dyDescent="0.3">
      <c r="B180" s="21">
        <v>68097</v>
      </c>
      <c r="C180" s="26">
        <v>270</v>
      </c>
      <c r="F180" s="9" t="s">
        <v>104</v>
      </c>
      <c r="G180" s="26">
        <v>3580</v>
      </c>
      <c r="K180" s="9">
        <v>65666</v>
      </c>
      <c r="L180" s="26">
        <v>7720</v>
      </c>
    </row>
    <row r="181" spans="2:12" x14ac:dyDescent="0.3">
      <c r="B181" s="23" t="s">
        <v>115</v>
      </c>
      <c r="C181" s="26">
        <v>270</v>
      </c>
      <c r="F181" s="9" t="s">
        <v>103</v>
      </c>
      <c r="G181" s="26">
        <v>4340</v>
      </c>
      <c r="K181" s="21" t="s">
        <v>14</v>
      </c>
      <c r="L181" s="26">
        <v>4720</v>
      </c>
    </row>
    <row r="182" spans="2:12" x14ac:dyDescent="0.3">
      <c r="B182" s="27" t="s">
        <v>24</v>
      </c>
      <c r="C182" s="26">
        <v>130</v>
      </c>
      <c r="F182" s="9" t="s">
        <v>102</v>
      </c>
      <c r="G182" s="26">
        <v>5740</v>
      </c>
      <c r="K182" s="21" t="s">
        <v>21</v>
      </c>
      <c r="L182" s="26">
        <v>3000</v>
      </c>
    </row>
    <row r="183" spans="2:12" x14ac:dyDescent="0.3">
      <c r="B183" s="27" t="s">
        <v>17</v>
      </c>
      <c r="C183" s="26">
        <v>140</v>
      </c>
      <c r="F183" s="9" t="s">
        <v>83</v>
      </c>
      <c r="G183" s="26">
        <v>12630</v>
      </c>
      <c r="K183" s="9">
        <v>48099</v>
      </c>
      <c r="L183" s="26">
        <v>7610</v>
      </c>
    </row>
    <row r="184" spans="2:12" x14ac:dyDescent="0.3">
      <c r="B184" s="21">
        <v>68101</v>
      </c>
      <c r="C184" s="26">
        <v>330</v>
      </c>
      <c r="F184" s="9" t="s">
        <v>101</v>
      </c>
      <c r="G184" s="26">
        <v>11570</v>
      </c>
      <c r="K184" s="21" t="s">
        <v>54</v>
      </c>
      <c r="L184" s="26">
        <v>7610</v>
      </c>
    </row>
    <row r="185" spans="2:12" x14ac:dyDescent="0.3">
      <c r="B185" s="23" t="s">
        <v>115</v>
      </c>
      <c r="C185" s="26">
        <v>330</v>
      </c>
      <c r="F185" s="9" t="s">
        <v>100</v>
      </c>
      <c r="G185" s="26">
        <v>9490</v>
      </c>
      <c r="K185" s="9">
        <v>48097</v>
      </c>
      <c r="L185" s="26">
        <v>6900</v>
      </c>
    </row>
    <row r="186" spans="2:12" x14ac:dyDescent="0.3">
      <c r="B186" s="27" t="s">
        <v>24</v>
      </c>
      <c r="C186" s="26">
        <v>140</v>
      </c>
      <c r="F186" s="9" t="s">
        <v>99</v>
      </c>
      <c r="G186" s="26">
        <v>6030</v>
      </c>
      <c r="K186" s="21" t="s">
        <v>52</v>
      </c>
      <c r="L186" s="26">
        <v>6900</v>
      </c>
    </row>
    <row r="187" spans="2:12" x14ac:dyDescent="0.3">
      <c r="B187" s="27" t="s">
        <v>17</v>
      </c>
      <c r="C187" s="26">
        <v>190</v>
      </c>
      <c r="F187" s="9" t="s">
        <v>98</v>
      </c>
      <c r="G187" s="26">
        <v>20100</v>
      </c>
      <c r="K187" s="9">
        <v>48116</v>
      </c>
      <c r="L187" s="26">
        <v>6200</v>
      </c>
    </row>
    <row r="188" spans="2:12" x14ac:dyDescent="0.3">
      <c r="B188" s="21">
        <v>68112</v>
      </c>
      <c r="C188" s="26">
        <v>300</v>
      </c>
      <c r="F188" s="9" t="s">
        <v>97</v>
      </c>
      <c r="G188" s="26">
        <v>14000</v>
      </c>
      <c r="K188" s="21" t="s">
        <v>52</v>
      </c>
      <c r="L188" s="26">
        <v>6200</v>
      </c>
    </row>
    <row r="189" spans="2:12" x14ac:dyDescent="0.3">
      <c r="B189" s="23" t="s">
        <v>115</v>
      </c>
      <c r="C189" s="26">
        <v>300</v>
      </c>
      <c r="F189" s="9" t="s">
        <v>96</v>
      </c>
      <c r="G189" s="26">
        <v>4600</v>
      </c>
      <c r="K189" s="9">
        <v>28112</v>
      </c>
      <c r="L189" s="26">
        <v>5900</v>
      </c>
    </row>
    <row r="190" spans="2:12" x14ac:dyDescent="0.3">
      <c r="B190" s="27" t="s">
        <v>24</v>
      </c>
      <c r="C190" s="26">
        <v>120</v>
      </c>
      <c r="F190" s="9" t="s">
        <v>95</v>
      </c>
      <c r="G190" s="26">
        <v>5040</v>
      </c>
      <c r="K190" s="21" t="s">
        <v>21</v>
      </c>
      <c r="L190" s="26">
        <v>5900</v>
      </c>
    </row>
    <row r="191" spans="2:12" x14ac:dyDescent="0.3">
      <c r="B191" s="27" t="s">
        <v>17</v>
      </c>
      <c r="C191" s="26">
        <v>180</v>
      </c>
      <c r="F191" s="9" t="s">
        <v>94</v>
      </c>
      <c r="G191" s="26">
        <v>4640</v>
      </c>
      <c r="K191" s="9">
        <v>48112</v>
      </c>
      <c r="L191" s="26">
        <v>5490</v>
      </c>
    </row>
    <row r="192" spans="2:12" x14ac:dyDescent="0.3">
      <c r="B192" s="21">
        <v>68116</v>
      </c>
      <c r="C192" s="26">
        <v>350</v>
      </c>
      <c r="F192" s="9" t="s">
        <v>93</v>
      </c>
      <c r="G192" s="26">
        <v>3930</v>
      </c>
      <c r="K192" s="21" t="s">
        <v>52</v>
      </c>
      <c r="L192" s="26">
        <v>5490</v>
      </c>
    </row>
    <row r="193" spans="2:12" x14ac:dyDescent="0.3">
      <c r="B193" s="23" t="s">
        <v>115</v>
      </c>
      <c r="C193" s="26">
        <v>350</v>
      </c>
      <c r="F193" s="9" t="s">
        <v>92</v>
      </c>
      <c r="G193" s="26">
        <v>4320</v>
      </c>
      <c r="K193" s="9">
        <v>48101</v>
      </c>
      <c r="L193" s="26">
        <v>5490</v>
      </c>
    </row>
    <row r="194" spans="2:12" x14ac:dyDescent="0.3">
      <c r="B194" s="27" t="s">
        <v>24</v>
      </c>
      <c r="C194" s="26">
        <v>190</v>
      </c>
      <c r="F194" s="9" t="s">
        <v>37</v>
      </c>
      <c r="G194" s="26">
        <v>190280</v>
      </c>
      <c r="K194" s="21" t="s">
        <v>52</v>
      </c>
      <c r="L194" s="26">
        <v>5490</v>
      </c>
    </row>
    <row r="195" spans="2:12" x14ac:dyDescent="0.3">
      <c r="B195" s="27" t="s">
        <v>17</v>
      </c>
      <c r="C195" s="26">
        <v>160</v>
      </c>
      <c r="K195" s="9">
        <v>65629</v>
      </c>
      <c r="L195" s="26">
        <v>5240</v>
      </c>
    </row>
    <row r="196" spans="2:12" x14ac:dyDescent="0.3">
      <c r="B196" s="9" t="s">
        <v>21</v>
      </c>
      <c r="C196" s="26">
        <v>3760</v>
      </c>
      <c r="K196" s="21" t="s">
        <v>14</v>
      </c>
      <c r="L196" s="26">
        <v>5240</v>
      </c>
    </row>
    <row r="197" spans="2:12" x14ac:dyDescent="0.3">
      <c r="B197" s="21">
        <v>24030</v>
      </c>
      <c r="C197" s="26">
        <v>300</v>
      </c>
      <c r="K197" s="9">
        <v>25442</v>
      </c>
      <c r="L197" s="26">
        <v>5020</v>
      </c>
    </row>
    <row r="198" spans="2:12" x14ac:dyDescent="0.3">
      <c r="B198" s="23" t="s">
        <v>115</v>
      </c>
      <c r="C198" s="26">
        <v>300</v>
      </c>
      <c r="K198" s="21" t="s">
        <v>14</v>
      </c>
      <c r="L198" s="26">
        <v>5020</v>
      </c>
    </row>
    <row r="199" spans="2:12" x14ac:dyDescent="0.3">
      <c r="B199" s="27" t="s">
        <v>43</v>
      </c>
      <c r="C199" s="26">
        <v>80</v>
      </c>
      <c r="K199" s="9">
        <v>44017</v>
      </c>
      <c r="L199" s="26">
        <v>4600</v>
      </c>
    </row>
    <row r="200" spans="2:12" x14ac:dyDescent="0.3">
      <c r="B200" s="27" t="s">
        <v>42</v>
      </c>
      <c r="C200" s="26">
        <v>60</v>
      </c>
      <c r="E200" t="s">
        <v>112</v>
      </c>
      <c r="K200" s="21" t="s">
        <v>52</v>
      </c>
      <c r="L200" s="26">
        <v>4600</v>
      </c>
    </row>
    <row r="201" spans="2:12" x14ac:dyDescent="0.3">
      <c r="B201" s="27" t="s">
        <v>41</v>
      </c>
      <c r="C201" s="26">
        <v>30</v>
      </c>
      <c r="K201" s="9">
        <v>66031</v>
      </c>
      <c r="L201" s="26">
        <v>4480</v>
      </c>
    </row>
    <row r="202" spans="2:12" x14ac:dyDescent="0.3">
      <c r="B202" s="27" t="s">
        <v>40</v>
      </c>
      <c r="C202" s="26">
        <v>130</v>
      </c>
      <c r="K202" s="21" t="s">
        <v>21</v>
      </c>
      <c r="L202" s="26">
        <v>4480</v>
      </c>
    </row>
    <row r="203" spans="2:12" x14ac:dyDescent="0.3">
      <c r="B203" s="21">
        <v>24031</v>
      </c>
      <c r="C203" s="26">
        <v>220</v>
      </c>
      <c r="E203" s="15" t="s">
        <v>6</v>
      </c>
      <c r="F203" t="s">
        <v>21</v>
      </c>
      <c r="K203" s="9">
        <v>24030</v>
      </c>
      <c r="L203" s="26">
        <v>4460</v>
      </c>
    </row>
    <row r="204" spans="2:12" x14ac:dyDescent="0.3">
      <c r="B204" s="23" t="s">
        <v>115</v>
      </c>
      <c r="C204" s="26">
        <v>220</v>
      </c>
      <c r="K204" s="21" t="s">
        <v>21</v>
      </c>
      <c r="L204" s="26">
        <v>4460</v>
      </c>
    </row>
    <row r="205" spans="2:12" x14ac:dyDescent="0.3">
      <c r="B205" s="27" t="s">
        <v>43</v>
      </c>
      <c r="C205" s="26">
        <v>20</v>
      </c>
      <c r="E205" s="15" t="s">
        <v>35</v>
      </c>
      <c r="F205" t="s">
        <v>62</v>
      </c>
      <c r="K205" s="9">
        <v>44015</v>
      </c>
      <c r="L205" s="26">
        <v>4270</v>
      </c>
    </row>
    <row r="206" spans="2:12" x14ac:dyDescent="0.3">
      <c r="B206" s="27" t="s">
        <v>44</v>
      </c>
      <c r="C206" s="26">
        <v>100</v>
      </c>
      <c r="E206" s="9" t="s">
        <v>115</v>
      </c>
      <c r="F206" s="26">
        <v>3760</v>
      </c>
      <c r="K206" s="21" t="s">
        <v>52</v>
      </c>
      <c r="L206" s="26">
        <v>4270</v>
      </c>
    </row>
    <row r="207" spans="2:12" x14ac:dyDescent="0.3">
      <c r="B207" s="27" t="s">
        <v>40</v>
      </c>
      <c r="C207" s="26">
        <v>100</v>
      </c>
      <c r="E207" s="21" t="s">
        <v>43</v>
      </c>
      <c r="F207" s="26">
        <v>110</v>
      </c>
      <c r="K207" s="9">
        <v>45427</v>
      </c>
      <c r="L207" s="26">
        <v>4270</v>
      </c>
    </row>
    <row r="208" spans="2:12" x14ac:dyDescent="0.3">
      <c r="B208" s="21">
        <v>28112</v>
      </c>
      <c r="C208" s="26">
        <v>390</v>
      </c>
      <c r="E208" s="21" t="s">
        <v>42</v>
      </c>
      <c r="F208" s="26">
        <v>130</v>
      </c>
      <c r="K208" s="21" t="s">
        <v>54</v>
      </c>
      <c r="L208" s="26">
        <v>4270</v>
      </c>
    </row>
    <row r="209" spans="2:12" x14ac:dyDescent="0.3">
      <c r="B209" s="23" t="s">
        <v>115</v>
      </c>
      <c r="C209" s="26">
        <v>390</v>
      </c>
      <c r="E209" s="21" t="s">
        <v>44</v>
      </c>
      <c r="F209" s="26">
        <v>100</v>
      </c>
      <c r="K209" s="9">
        <v>44032</v>
      </c>
      <c r="L209" s="26">
        <v>4270</v>
      </c>
    </row>
    <row r="210" spans="2:12" x14ac:dyDescent="0.3">
      <c r="B210" s="27" t="s">
        <v>43</v>
      </c>
      <c r="C210" s="26">
        <v>10</v>
      </c>
      <c r="E210" s="21" t="s">
        <v>45</v>
      </c>
      <c r="F210" s="26">
        <v>50</v>
      </c>
      <c r="K210" s="21" t="s">
        <v>52</v>
      </c>
      <c r="L210" s="26">
        <v>4270</v>
      </c>
    </row>
    <row r="211" spans="2:12" x14ac:dyDescent="0.3">
      <c r="B211" s="27" t="s">
        <v>42</v>
      </c>
      <c r="C211" s="26">
        <v>70</v>
      </c>
      <c r="E211" s="21" t="s">
        <v>47</v>
      </c>
      <c r="F211" s="26">
        <v>70</v>
      </c>
      <c r="K211" s="9">
        <v>24031</v>
      </c>
      <c r="L211" s="26">
        <v>4260</v>
      </c>
    </row>
    <row r="212" spans="2:12" x14ac:dyDescent="0.3">
      <c r="B212" s="27" t="s">
        <v>45</v>
      </c>
      <c r="C212" s="26">
        <v>50</v>
      </c>
      <c r="E212" s="21" t="s">
        <v>46</v>
      </c>
      <c r="F212" s="26">
        <v>80</v>
      </c>
      <c r="K212" s="21" t="s">
        <v>21</v>
      </c>
      <c r="L212" s="26">
        <v>4260</v>
      </c>
    </row>
    <row r="213" spans="2:12" x14ac:dyDescent="0.3">
      <c r="B213" s="27" t="s">
        <v>47</v>
      </c>
      <c r="C213" s="26">
        <v>70</v>
      </c>
      <c r="E213" s="21" t="s">
        <v>41</v>
      </c>
      <c r="F213" s="26">
        <v>100</v>
      </c>
      <c r="K213" s="9">
        <v>66016</v>
      </c>
      <c r="L213" s="26">
        <v>4200</v>
      </c>
    </row>
    <row r="214" spans="2:12" x14ac:dyDescent="0.3">
      <c r="B214" s="27" t="s">
        <v>46</v>
      </c>
      <c r="C214" s="26">
        <v>80</v>
      </c>
      <c r="E214" s="21" t="s">
        <v>40</v>
      </c>
      <c r="F214" s="26">
        <v>270</v>
      </c>
      <c r="K214" s="21" t="s">
        <v>21</v>
      </c>
      <c r="L214" s="26">
        <v>4200</v>
      </c>
    </row>
    <row r="215" spans="2:12" x14ac:dyDescent="0.3">
      <c r="B215" s="27" t="s">
        <v>41</v>
      </c>
      <c r="C215" s="26">
        <v>70</v>
      </c>
      <c r="E215" s="21" t="s">
        <v>30</v>
      </c>
      <c r="F215" s="26">
        <v>640</v>
      </c>
      <c r="K215" s="9">
        <v>44030</v>
      </c>
      <c r="L215" s="26">
        <v>3940</v>
      </c>
    </row>
    <row r="216" spans="2:12" x14ac:dyDescent="0.3">
      <c r="B216" s="27" t="s">
        <v>40</v>
      </c>
      <c r="C216" s="26">
        <v>40</v>
      </c>
      <c r="E216" s="21" t="s">
        <v>24</v>
      </c>
      <c r="F216" s="26">
        <v>550</v>
      </c>
      <c r="K216" s="21" t="s">
        <v>52</v>
      </c>
      <c r="L216" s="26">
        <v>3940</v>
      </c>
    </row>
    <row r="217" spans="2:12" x14ac:dyDescent="0.3">
      <c r="B217" s="21">
        <v>65627</v>
      </c>
      <c r="C217" s="26">
        <v>300</v>
      </c>
      <c r="E217" s="21" t="s">
        <v>17</v>
      </c>
      <c r="F217" s="26">
        <v>820</v>
      </c>
      <c r="K217" s="9">
        <v>66032</v>
      </c>
      <c r="L217" s="26">
        <v>3720</v>
      </c>
    </row>
    <row r="218" spans="2:12" x14ac:dyDescent="0.3">
      <c r="B218" s="23" t="s">
        <v>115</v>
      </c>
      <c r="C218" s="26">
        <v>300</v>
      </c>
      <c r="E218" s="21" t="s">
        <v>15</v>
      </c>
      <c r="F218" s="26">
        <v>840</v>
      </c>
      <c r="K218" s="21" t="s">
        <v>14</v>
      </c>
      <c r="L218" s="26">
        <v>3720</v>
      </c>
    </row>
    <row r="219" spans="2:12" x14ac:dyDescent="0.3">
      <c r="B219" s="27" t="s">
        <v>17</v>
      </c>
      <c r="C219" s="26">
        <v>160</v>
      </c>
      <c r="E219" s="9" t="s">
        <v>37</v>
      </c>
      <c r="F219" s="26">
        <v>3760</v>
      </c>
      <c r="K219" s="9">
        <v>68099</v>
      </c>
      <c r="L219" s="26">
        <v>3690</v>
      </c>
    </row>
    <row r="220" spans="2:12" x14ac:dyDescent="0.3">
      <c r="B220" s="27" t="s">
        <v>15</v>
      </c>
      <c r="C220" s="26">
        <v>140</v>
      </c>
      <c r="K220" s="21" t="s">
        <v>21</v>
      </c>
      <c r="L220" s="26">
        <v>3690</v>
      </c>
    </row>
    <row r="221" spans="2:12" x14ac:dyDescent="0.3">
      <c r="B221" s="21">
        <v>65631</v>
      </c>
      <c r="C221" s="26">
        <v>310</v>
      </c>
      <c r="K221" s="9">
        <v>68101</v>
      </c>
      <c r="L221" s="26">
        <v>3680</v>
      </c>
    </row>
    <row r="222" spans="2:12" x14ac:dyDescent="0.3">
      <c r="B222" s="23" t="s">
        <v>115</v>
      </c>
      <c r="C222" s="26">
        <v>310</v>
      </c>
      <c r="K222" s="21" t="s">
        <v>14</v>
      </c>
      <c r="L222" s="26">
        <v>3680</v>
      </c>
    </row>
    <row r="223" spans="2:12" x14ac:dyDescent="0.3">
      <c r="B223" s="27" t="s">
        <v>30</v>
      </c>
      <c r="C223" s="26">
        <v>190</v>
      </c>
      <c r="E223" t="s">
        <v>113</v>
      </c>
      <c r="K223" s="9">
        <v>45442</v>
      </c>
      <c r="L223" s="26">
        <v>3610</v>
      </c>
    </row>
    <row r="224" spans="2:12" x14ac:dyDescent="0.3">
      <c r="B224" s="27" t="s">
        <v>15</v>
      </c>
      <c r="C224" s="26">
        <v>120</v>
      </c>
      <c r="K224" s="21" t="s">
        <v>54</v>
      </c>
      <c r="L224" s="26">
        <v>3610</v>
      </c>
    </row>
    <row r="225" spans="2:12" x14ac:dyDescent="0.3">
      <c r="B225" s="21">
        <v>65662</v>
      </c>
      <c r="C225" s="26">
        <v>230</v>
      </c>
      <c r="K225" s="9">
        <v>65627</v>
      </c>
      <c r="L225" s="26">
        <v>3600</v>
      </c>
    </row>
    <row r="226" spans="2:12" x14ac:dyDescent="0.3">
      <c r="B226" s="23" t="s">
        <v>115</v>
      </c>
      <c r="C226" s="26">
        <v>230</v>
      </c>
      <c r="K226" s="21" t="s">
        <v>21</v>
      </c>
      <c r="L226" s="26">
        <v>3600</v>
      </c>
    </row>
    <row r="227" spans="2:12" x14ac:dyDescent="0.3">
      <c r="B227" s="27" t="s">
        <v>17</v>
      </c>
      <c r="C227" s="26">
        <v>110</v>
      </c>
      <c r="E227" s="15" t="s">
        <v>35</v>
      </c>
      <c r="K227" s="9">
        <v>45446</v>
      </c>
      <c r="L227" s="26">
        <v>3520</v>
      </c>
    </row>
    <row r="228" spans="2:12" x14ac:dyDescent="0.3">
      <c r="B228" s="27" t="s">
        <v>15</v>
      </c>
      <c r="C228" s="26">
        <v>120</v>
      </c>
      <c r="E228" s="9">
        <v>24030</v>
      </c>
      <c r="K228" s="21" t="s">
        <v>54</v>
      </c>
      <c r="L228" s="26">
        <v>3520</v>
      </c>
    </row>
    <row r="229" spans="2:12" x14ac:dyDescent="0.3">
      <c r="B229" s="21">
        <v>65666</v>
      </c>
      <c r="C229" s="26">
        <v>320</v>
      </c>
      <c r="E229" s="9">
        <v>24031</v>
      </c>
      <c r="K229" s="9">
        <v>45431</v>
      </c>
      <c r="L229" s="26">
        <v>3380</v>
      </c>
    </row>
    <row r="230" spans="2:12" x14ac:dyDescent="0.3">
      <c r="B230" s="23" t="s">
        <v>115</v>
      </c>
      <c r="C230" s="26">
        <v>320</v>
      </c>
      <c r="E230" s="9">
        <v>25442</v>
      </c>
      <c r="K230" s="21" t="s">
        <v>54</v>
      </c>
      <c r="L230" s="26">
        <v>3380</v>
      </c>
    </row>
    <row r="231" spans="2:12" x14ac:dyDescent="0.3">
      <c r="B231" s="27" t="s">
        <v>30</v>
      </c>
      <c r="C231" s="26">
        <v>120</v>
      </c>
      <c r="E231" s="9">
        <v>28112</v>
      </c>
      <c r="K231" s="9">
        <v>66015</v>
      </c>
      <c r="L231" s="26">
        <v>3360</v>
      </c>
    </row>
    <row r="232" spans="2:12" x14ac:dyDescent="0.3">
      <c r="B232" s="27" t="s">
        <v>15</v>
      </c>
      <c r="C232" s="26">
        <v>200</v>
      </c>
      <c r="E232" s="9">
        <v>44015</v>
      </c>
      <c r="K232" s="21" t="s">
        <v>14</v>
      </c>
      <c r="L232" s="26">
        <v>3360</v>
      </c>
    </row>
    <row r="233" spans="2:12" x14ac:dyDescent="0.3">
      <c r="B233" s="21">
        <v>66016</v>
      </c>
      <c r="C233" s="26">
        <v>370</v>
      </c>
      <c r="E233" s="9">
        <v>44016</v>
      </c>
      <c r="K233" s="9">
        <v>68112</v>
      </c>
      <c r="L233" s="26">
        <v>3360</v>
      </c>
    </row>
    <row r="234" spans="2:12" x14ac:dyDescent="0.3">
      <c r="B234" s="23" t="s">
        <v>115</v>
      </c>
      <c r="C234" s="26">
        <v>370</v>
      </c>
      <c r="E234" s="9">
        <v>44017</v>
      </c>
      <c r="K234" s="21" t="s">
        <v>14</v>
      </c>
      <c r="L234" s="26">
        <v>3360</v>
      </c>
    </row>
    <row r="235" spans="2:12" x14ac:dyDescent="0.3">
      <c r="B235" s="27" t="s">
        <v>24</v>
      </c>
      <c r="C235" s="26">
        <v>120</v>
      </c>
      <c r="E235" s="9">
        <v>44030</v>
      </c>
      <c r="K235" s="9">
        <v>66017</v>
      </c>
      <c r="L235" s="26">
        <v>3360</v>
      </c>
    </row>
    <row r="236" spans="2:12" x14ac:dyDescent="0.3">
      <c r="B236" s="27" t="s">
        <v>17</v>
      </c>
      <c r="C236" s="26">
        <v>130</v>
      </c>
      <c r="E236" s="9">
        <v>44031</v>
      </c>
      <c r="K236" s="21" t="s">
        <v>14</v>
      </c>
      <c r="L236" s="26">
        <v>3360</v>
      </c>
    </row>
    <row r="237" spans="2:12" x14ac:dyDescent="0.3">
      <c r="B237" s="27" t="s">
        <v>15</v>
      </c>
      <c r="C237" s="26">
        <v>120</v>
      </c>
      <c r="E237" s="9">
        <v>44032</v>
      </c>
      <c r="K237" s="9">
        <v>66030</v>
      </c>
      <c r="L237" s="26">
        <v>3240</v>
      </c>
    </row>
    <row r="238" spans="2:12" x14ac:dyDescent="0.3">
      <c r="B238" s="21">
        <v>66031</v>
      </c>
      <c r="C238" s="26">
        <v>390</v>
      </c>
      <c r="E238" s="9">
        <v>45427</v>
      </c>
      <c r="K238" s="21" t="s">
        <v>14</v>
      </c>
      <c r="L238" s="26">
        <v>3240</v>
      </c>
    </row>
    <row r="239" spans="2:12" x14ac:dyDescent="0.3">
      <c r="B239" s="23" t="s">
        <v>115</v>
      </c>
      <c r="C239" s="26">
        <v>390</v>
      </c>
      <c r="E239" s="9">
        <v>45429</v>
      </c>
      <c r="K239" s="9">
        <v>68097</v>
      </c>
      <c r="L239" s="26">
        <v>2980</v>
      </c>
    </row>
    <row r="240" spans="2:12" x14ac:dyDescent="0.3">
      <c r="B240" s="27" t="s">
        <v>24</v>
      </c>
      <c r="C240" s="26">
        <v>100</v>
      </c>
      <c r="E240" s="9">
        <v>45431</v>
      </c>
      <c r="K240" s="21" t="s">
        <v>14</v>
      </c>
      <c r="L240" s="26">
        <v>2980</v>
      </c>
    </row>
    <row r="241" spans="2:12" x14ac:dyDescent="0.3">
      <c r="B241" s="27" t="s">
        <v>17</v>
      </c>
      <c r="C241" s="26">
        <v>150</v>
      </c>
      <c r="E241" s="9">
        <v>45442</v>
      </c>
      <c r="K241" s="9">
        <v>65662</v>
      </c>
      <c r="L241" s="26">
        <v>2760</v>
      </c>
    </row>
    <row r="242" spans="2:12" x14ac:dyDescent="0.3">
      <c r="B242" s="27" t="s">
        <v>15</v>
      </c>
      <c r="C242" s="26">
        <v>140</v>
      </c>
      <c r="E242" s="9">
        <v>45444</v>
      </c>
      <c r="K242" s="21" t="s">
        <v>21</v>
      </c>
      <c r="L242" s="26">
        <v>2760</v>
      </c>
    </row>
    <row r="243" spans="2:12" x14ac:dyDescent="0.3">
      <c r="B243" s="21">
        <v>68099</v>
      </c>
      <c r="C243" s="26">
        <v>430</v>
      </c>
      <c r="E243" s="9">
        <v>45446</v>
      </c>
      <c r="K243" s="9">
        <v>65631</v>
      </c>
      <c r="L243" s="26">
        <v>2390</v>
      </c>
    </row>
    <row r="244" spans="2:12" x14ac:dyDescent="0.3">
      <c r="B244" s="23" t="s">
        <v>115</v>
      </c>
      <c r="C244" s="26">
        <v>430</v>
      </c>
      <c r="E244" s="9">
        <v>48097</v>
      </c>
      <c r="K244" s="21" t="s">
        <v>21</v>
      </c>
      <c r="L244" s="26">
        <v>2390</v>
      </c>
    </row>
    <row r="245" spans="2:12" x14ac:dyDescent="0.3">
      <c r="B245" s="27" t="s">
        <v>30</v>
      </c>
      <c r="C245" s="26">
        <v>170</v>
      </c>
      <c r="E245" s="9">
        <v>48099</v>
      </c>
      <c r="K245" s="9" t="s">
        <v>37</v>
      </c>
      <c r="L245" s="26">
        <v>190280</v>
      </c>
    </row>
    <row r="246" spans="2:12" x14ac:dyDescent="0.3">
      <c r="B246" s="27" t="s">
        <v>24</v>
      </c>
      <c r="C246" s="26">
        <v>140</v>
      </c>
      <c r="E246" s="9">
        <v>48101</v>
      </c>
    </row>
    <row r="247" spans="2:12" x14ac:dyDescent="0.3">
      <c r="B247" s="27" t="s">
        <v>17</v>
      </c>
      <c r="C247" s="26">
        <v>120</v>
      </c>
      <c r="E247" s="9">
        <v>48112</v>
      </c>
    </row>
    <row r="248" spans="2:12" x14ac:dyDescent="0.3">
      <c r="B248" s="21">
        <v>68116</v>
      </c>
      <c r="C248" s="26">
        <v>500</v>
      </c>
      <c r="E248" s="9">
        <v>48114</v>
      </c>
    </row>
    <row r="249" spans="2:12" x14ac:dyDescent="0.3">
      <c r="B249" s="23" t="s">
        <v>115</v>
      </c>
      <c r="C249" s="26">
        <v>500</v>
      </c>
      <c r="E249" s="9">
        <v>48116</v>
      </c>
    </row>
    <row r="250" spans="2:12" x14ac:dyDescent="0.3">
      <c r="B250" s="27" t="s">
        <v>30</v>
      </c>
      <c r="C250" s="26">
        <v>160</v>
      </c>
      <c r="E250" s="9">
        <v>65627</v>
      </c>
    </row>
    <row r="251" spans="2:12" x14ac:dyDescent="0.3">
      <c r="B251" s="27" t="s">
        <v>24</v>
      </c>
      <c r="C251" s="26">
        <v>190</v>
      </c>
      <c r="E251" s="9">
        <v>65629</v>
      </c>
      <c r="I251" t="s">
        <v>114</v>
      </c>
    </row>
    <row r="252" spans="2:12" x14ac:dyDescent="0.3">
      <c r="B252" s="27" t="s">
        <v>17</v>
      </c>
      <c r="C252" s="26">
        <v>150</v>
      </c>
      <c r="E252" s="9">
        <v>65631</v>
      </c>
    </row>
    <row r="253" spans="2:12" x14ac:dyDescent="0.3">
      <c r="B253" s="9" t="s">
        <v>52</v>
      </c>
      <c r="C253" s="26">
        <v>1390</v>
      </c>
      <c r="E253" s="9">
        <v>65662</v>
      </c>
      <c r="I253" s="15" t="s">
        <v>2</v>
      </c>
      <c r="J253" t="s">
        <v>13</v>
      </c>
    </row>
    <row r="254" spans="2:12" x14ac:dyDescent="0.3">
      <c r="B254" s="21">
        <v>44015</v>
      </c>
      <c r="C254" s="26">
        <v>130</v>
      </c>
      <c r="E254" s="9">
        <v>65666</v>
      </c>
    </row>
    <row r="255" spans="2:12" x14ac:dyDescent="0.3">
      <c r="B255" s="23" t="s">
        <v>115</v>
      </c>
      <c r="C255" s="26">
        <v>60</v>
      </c>
      <c r="E255" s="9">
        <v>66015</v>
      </c>
      <c r="I255" s="15" t="s">
        <v>35</v>
      </c>
      <c r="J255" t="s">
        <v>62</v>
      </c>
    </row>
    <row r="256" spans="2:12" x14ac:dyDescent="0.3">
      <c r="B256" s="27" t="s">
        <v>43</v>
      </c>
      <c r="C256" s="26">
        <v>60</v>
      </c>
      <c r="E256" s="9">
        <v>66016</v>
      </c>
      <c r="I256" s="9" t="s">
        <v>43</v>
      </c>
      <c r="J256" s="26">
        <v>110</v>
      </c>
    </row>
    <row r="257" spans="2:10" x14ac:dyDescent="0.3">
      <c r="B257" s="23" t="s">
        <v>53</v>
      </c>
      <c r="C257" s="26">
        <v>70</v>
      </c>
      <c r="E257" s="9">
        <v>66017</v>
      </c>
      <c r="I257" s="9" t="s">
        <v>42</v>
      </c>
      <c r="J257" s="26">
        <v>150</v>
      </c>
    </row>
    <row r="258" spans="2:10" x14ac:dyDescent="0.3">
      <c r="B258" s="27" t="s">
        <v>53</v>
      </c>
      <c r="C258" s="26">
        <v>70</v>
      </c>
      <c r="E258" s="9">
        <v>66030</v>
      </c>
      <c r="I258" s="9" t="s">
        <v>44</v>
      </c>
      <c r="J258" s="26">
        <v>100</v>
      </c>
    </row>
    <row r="259" spans="2:10" x14ac:dyDescent="0.3">
      <c r="B259" s="21">
        <v>44017</v>
      </c>
      <c r="C259" s="26">
        <v>140</v>
      </c>
      <c r="E259" s="9">
        <v>66031</v>
      </c>
      <c r="I259" s="9" t="s">
        <v>45</v>
      </c>
      <c r="J259" s="26">
        <v>50</v>
      </c>
    </row>
    <row r="260" spans="2:10" x14ac:dyDescent="0.3">
      <c r="B260" s="23" t="s">
        <v>115</v>
      </c>
      <c r="C260" s="26">
        <v>70</v>
      </c>
      <c r="E260" s="9">
        <v>66032</v>
      </c>
      <c r="I260" s="9" t="s">
        <v>47</v>
      </c>
      <c r="J260" s="26">
        <v>210</v>
      </c>
    </row>
    <row r="261" spans="2:10" x14ac:dyDescent="0.3">
      <c r="B261" s="27" t="s">
        <v>43</v>
      </c>
      <c r="C261" s="26">
        <v>70</v>
      </c>
      <c r="E261" s="9">
        <v>68097</v>
      </c>
      <c r="I261" s="9" t="s">
        <v>46</v>
      </c>
      <c r="J261" s="26">
        <v>160</v>
      </c>
    </row>
    <row r="262" spans="2:10" x14ac:dyDescent="0.3">
      <c r="B262" s="23" t="s">
        <v>53</v>
      </c>
      <c r="C262" s="26">
        <v>70</v>
      </c>
      <c r="E262" s="9">
        <v>68099</v>
      </c>
      <c r="I262" s="9" t="s">
        <v>41</v>
      </c>
      <c r="J262" s="26">
        <v>110</v>
      </c>
    </row>
    <row r="263" spans="2:10" x14ac:dyDescent="0.3">
      <c r="B263" s="27" t="s">
        <v>53</v>
      </c>
      <c r="C263" s="26">
        <v>70</v>
      </c>
      <c r="E263" s="9">
        <v>68101</v>
      </c>
      <c r="I263" s="9" t="s">
        <v>40</v>
      </c>
      <c r="J263" s="26">
        <v>310</v>
      </c>
    </row>
    <row r="264" spans="2:10" x14ac:dyDescent="0.3">
      <c r="B264" s="21">
        <v>44030</v>
      </c>
      <c r="C264" s="26">
        <v>120</v>
      </c>
      <c r="E264" s="9">
        <v>68112</v>
      </c>
      <c r="I264" s="9" t="s">
        <v>48</v>
      </c>
      <c r="J264" s="26">
        <v>60</v>
      </c>
    </row>
    <row r="265" spans="2:10" x14ac:dyDescent="0.3">
      <c r="B265" s="23" t="s">
        <v>115</v>
      </c>
      <c r="C265" s="26">
        <v>60</v>
      </c>
      <c r="E265" s="9">
        <v>68116</v>
      </c>
      <c r="I265" s="9" t="s">
        <v>30</v>
      </c>
      <c r="J265" s="26">
        <v>640</v>
      </c>
    </row>
    <row r="266" spans="2:10" x14ac:dyDescent="0.3">
      <c r="B266" s="27" t="s">
        <v>43</v>
      </c>
      <c r="C266" s="26">
        <v>60</v>
      </c>
      <c r="E266" s="9" t="s">
        <v>37</v>
      </c>
      <c r="I266" s="9" t="s">
        <v>24</v>
      </c>
      <c r="J266" s="26">
        <v>1430</v>
      </c>
    </row>
    <row r="267" spans="2:10" x14ac:dyDescent="0.3">
      <c r="B267" s="23" t="s">
        <v>53</v>
      </c>
      <c r="C267" s="26">
        <v>60</v>
      </c>
      <c r="I267" s="9" t="s">
        <v>17</v>
      </c>
      <c r="J267" s="26">
        <v>2330</v>
      </c>
    </row>
    <row r="268" spans="2:10" x14ac:dyDescent="0.3">
      <c r="B268" s="27" t="s">
        <v>53</v>
      </c>
      <c r="C268" s="26">
        <v>60</v>
      </c>
      <c r="I268" s="9" t="s">
        <v>15</v>
      </c>
      <c r="J268" s="26">
        <v>1720</v>
      </c>
    </row>
    <row r="269" spans="2:10" x14ac:dyDescent="0.3">
      <c r="B269" s="21">
        <v>44032</v>
      </c>
      <c r="C269" s="26">
        <v>130</v>
      </c>
      <c r="I269" s="9" t="s">
        <v>37</v>
      </c>
      <c r="J269" s="26">
        <v>7380</v>
      </c>
    </row>
    <row r="270" spans="2:10" x14ac:dyDescent="0.3">
      <c r="B270" s="23" t="s">
        <v>115</v>
      </c>
      <c r="C270" s="26">
        <v>60</v>
      </c>
    </row>
    <row r="271" spans="2:10" x14ac:dyDescent="0.3">
      <c r="B271" s="27" t="s">
        <v>43</v>
      </c>
      <c r="C271" s="26">
        <v>60</v>
      </c>
    </row>
    <row r="272" spans="2:10" x14ac:dyDescent="0.3">
      <c r="B272" s="23" t="s">
        <v>53</v>
      </c>
      <c r="C272" s="26">
        <v>70</v>
      </c>
    </row>
    <row r="273" spans="2:3" x14ac:dyDescent="0.3">
      <c r="B273" s="27" t="s">
        <v>53</v>
      </c>
      <c r="C273" s="26">
        <v>70</v>
      </c>
    </row>
    <row r="274" spans="2:3" x14ac:dyDescent="0.3">
      <c r="B274" s="21">
        <v>45429</v>
      </c>
      <c r="C274" s="26">
        <v>210</v>
      </c>
    </row>
    <row r="275" spans="2:3" x14ac:dyDescent="0.3">
      <c r="B275" s="23" t="s">
        <v>115</v>
      </c>
      <c r="C275" s="26">
        <v>80</v>
      </c>
    </row>
    <row r="276" spans="2:3" x14ac:dyDescent="0.3">
      <c r="B276" s="27" t="s">
        <v>43</v>
      </c>
      <c r="C276" s="26">
        <v>80</v>
      </c>
    </row>
    <row r="277" spans="2:3" x14ac:dyDescent="0.3">
      <c r="B277" s="23" t="s">
        <v>53</v>
      </c>
      <c r="C277" s="26">
        <v>80</v>
      </c>
    </row>
    <row r="278" spans="2:3" x14ac:dyDescent="0.3">
      <c r="B278" s="27" t="s">
        <v>53</v>
      </c>
      <c r="C278" s="26">
        <v>80</v>
      </c>
    </row>
    <row r="279" spans="2:3" x14ac:dyDescent="0.3">
      <c r="B279" s="23" t="s">
        <v>55</v>
      </c>
      <c r="C279" s="26">
        <v>50</v>
      </c>
    </row>
    <row r="280" spans="2:3" x14ac:dyDescent="0.3">
      <c r="B280" s="27" t="s">
        <v>55</v>
      </c>
      <c r="C280" s="26">
        <v>50</v>
      </c>
    </row>
    <row r="281" spans="2:3" x14ac:dyDescent="0.3">
      <c r="B281" s="21">
        <v>45444</v>
      </c>
      <c r="C281" s="26">
        <v>190</v>
      </c>
    </row>
    <row r="282" spans="2:3" x14ac:dyDescent="0.3">
      <c r="B282" s="23" t="s">
        <v>115</v>
      </c>
      <c r="C282" s="26">
        <v>60</v>
      </c>
    </row>
    <row r="283" spans="2:3" x14ac:dyDescent="0.3">
      <c r="B283" s="27" t="s">
        <v>43</v>
      </c>
      <c r="C283" s="26">
        <v>60</v>
      </c>
    </row>
    <row r="284" spans="2:3" x14ac:dyDescent="0.3">
      <c r="B284" s="23" t="s">
        <v>53</v>
      </c>
      <c r="C284" s="26">
        <v>70</v>
      </c>
    </row>
    <row r="285" spans="2:3" x14ac:dyDescent="0.3">
      <c r="B285" s="27" t="s">
        <v>53</v>
      </c>
      <c r="C285" s="26">
        <v>70</v>
      </c>
    </row>
    <row r="286" spans="2:3" x14ac:dyDescent="0.3">
      <c r="B286" s="23" t="s">
        <v>55</v>
      </c>
      <c r="C286" s="26">
        <v>60</v>
      </c>
    </row>
    <row r="287" spans="2:3" x14ac:dyDescent="0.3">
      <c r="B287" s="27" t="s">
        <v>55</v>
      </c>
      <c r="C287" s="26">
        <v>60</v>
      </c>
    </row>
    <row r="288" spans="2:3" x14ac:dyDescent="0.3">
      <c r="B288" s="21">
        <v>48097</v>
      </c>
      <c r="C288" s="26">
        <v>130</v>
      </c>
    </row>
    <row r="289" spans="2:3" x14ac:dyDescent="0.3">
      <c r="B289" s="23" t="s">
        <v>53</v>
      </c>
      <c r="C289" s="26">
        <v>60</v>
      </c>
    </row>
    <row r="290" spans="2:3" x14ac:dyDescent="0.3">
      <c r="B290" s="27" t="s">
        <v>53</v>
      </c>
      <c r="C290" s="26">
        <v>60</v>
      </c>
    </row>
    <row r="291" spans="2:3" x14ac:dyDescent="0.3">
      <c r="B291" s="23" t="s">
        <v>55</v>
      </c>
      <c r="C291" s="26">
        <v>70</v>
      </c>
    </row>
    <row r="292" spans="2:3" x14ac:dyDescent="0.3">
      <c r="B292" s="27" t="s">
        <v>55</v>
      </c>
      <c r="C292" s="26">
        <v>70</v>
      </c>
    </row>
    <row r="293" spans="2:3" x14ac:dyDescent="0.3">
      <c r="B293" s="21">
        <v>48101</v>
      </c>
      <c r="C293" s="26">
        <v>110</v>
      </c>
    </row>
    <row r="294" spans="2:3" x14ac:dyDescent="0.3">
      <c r="B294" s="23" t="s">
        <v>53</v>
      </c>
      <c r="C294" s="26">
        <v>60</v>
      </c>
    </row>
    <row r="295" spans="2:3" x14ac:dyDescent="0.3">
      <c r="B295" s="27" t="s">
        <v>53</v>
      </c>
      <c r="C295" s="26">
        <v>60</v>
      </c>
    </row>
    <row r="296" spans="2:3" x14ac:dyDescent="0.3">
      <c r="B296" s="23" t="s">
        <v>55</v>
      </c>
      <c r="C296" s="26">
        <v>50</v>
      </c>
    </row>
    <row r="297" spans="2:3" x14ac:dyDescent="0.3">
      <c r="B297" s="27" t="s">
        <v>55</v>
      </c>
      <c r="C297" s="26">
        <v>50</v>
      </c>
    </row>
    <row r="298" spans="2:3" x14ac:dyDescent="0.3">
      <c r="B298" s="21">
        <v>48112</v>
      </c>
      <c r="C298" s="26">
        <v>110</v>
      </c>
    </row>
    <row r="299" spans="2:3" x14ac:dyDescent="0.3">
      <c r="B299" s="23" t="s">
        <v>53</v>
      </c>
      <c r="C299" s="26">
        <v>60</v>
      </c>
    </row>
    <row r="300" spans="2:3" x14ac:dyDescent="0.3">
      <c r="B300" s="27" t="s">
        <v>53</v>
      </c>
      <c r="C300" s="26">
        <v>60</v>
      </c>
    </row>
    <row r="301" spans="2:3" x14ac:dyDescent="0.3">
      <c r="B301" s="23" t="s">
        <v>55</v>
      </c>
      <c r="C301" s="26">
        <v>50</v>
      </c>
    </row>
    <row r="302" spans="2:3" x14ac:dyDescent="0.3">
      <c r="B302" s="27" t="s">
        <v>55</v>
      </c>
      <c r="C302" s="26">
        <v>50</v>
      </c>
    </row>
    <row r="303" spans="2:3" x14ac:dyDescent="0.3">
      <c r="B303" s="21">
        <v>48116</v>
      </c>
      <c r="C303" s="26">
        <v>120</v>
      </c>
    </row>
    <row r="304" spans="2:3" x14ac:dyDescent="0.3">
      <c r="B304" s="23" t="s">
        <v>53</v>
      </c>
      <c r="C304" s="26">
        <v>60</v>
      </c>
    </row>
    <row r="305" spans="2:3" x14ac:dyDescent="0.3">
      <c r="B305" s="27" t="s">
        <v>53</v>
      </c>
      <c r="C305" s="26">
        <v>60</v>
      </c>
    </row>
    <row r="306" spans="2:3" x14ac:dyDescent="0.3">
      <c r="B306" s="23" t="s">
        <v>55</v>
      </c>
      <c r="C306" s="26">
        <v>60</v>
      </c>
    </row>
    <row r="307" spans="2:3" x14ac:dyDescent="0.3">
      <c r="B307" s="27" t="s">
        <v>55</v>
      </c>
      <c r="C307" s="26">
        <v>60</v>
      </c>
    </row>
    <row r="308" spans="2:3" x14ac:dyDescent="0.3">
      <c r="B308" s="9" t="s">
        <v>37</v>
      </c>
      <c r="C308" s="26">
        <v>9990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1659A-AD5C-4F96-8A1D-2FB576EB0FFC}">
  <dimension ref="B3:AF156"/>
  <sheetViews>
    <sheetView tabSelected="1" topLeftCell="D3" workbookViewId="0">
      <selection activeCell="K25" sqref="K25"/>
    </sheetView>
  </sheetViews>
  <sheetFormatPr defaultRowHeight="14.4" x14ac:dyDescent="0.3"/>
  <cols>
    <col min="2" max="2" width="10.44140625" customWidth="1"/>
    <col min="4" max="4" width="27.88671875" bestFit="1" customWidth="1"/>
    <col min="5" max="5" width="19" bestFit="1" customWidth="1"/>
    <col min="11" max="11" width="18.109375" bestFit="1" customWidth="1"/>
    <col min="12" max="12" width="15.5546875" bestFit="1" customWidth="1"/>
    <col min="13" max="13" width="10.33203125" bestFit="1" customWidth="1"/>
    <col min="14" max="14" width="18.88671875" bestFit="1" customWidth="1"/>
    <col min="15" max="15" width="18.109375" bestFit="1" customWidth="1"/>
    <col min="16" max="16" width="15.44140625" bestFit="1" customWidth="1"/>
    <col min="17" max="17" width="14.6640625" bestFit="1" customWidth="1"/>
    <col min="18" max="18" width="21.6640625" bestFit="1" customWidth="1"/>
    <col min="19" max="19" width="21.88671875" bestFit="1" customWidth="1"/>
    <col min="20" max="20" width="19.44140625" bestFit="1" customWidth="1"/>
    <col min="21" max="21" width="13.21875" bestFit="1" customWidth="1"/>
    <col min="22" max="22" width="20.33203125" bestFit="1" customWidth="1"/>
    <col min="23" max="23" width="24.44140625" bestFit="1" customWidth="1"/>
    <col min="24" max="24" width="24.6640625" bestFit="1" customWidth="1"/>
    <col min="25" max="25" width="12" bestFit="1" customWidth="1"/>
    <col min="26" max="26" width="15.77734375" bestFit="1" customWidth="1"/>
    <col min="27" max="27" width="18.5546875" bestFit="1" customWidth="1"/>
    <col min="28" max="28" width="25.88671875" bestFit="1" customWidth="1"/>
    <col min="29" max="29" width="28.6640625" bestFit="1" customWidth="1"/>
    <col min="30" max="30" width="23.77734375" bestFit="1" customWidth="1"/>
    <col min="31" max="31" width="26.5546875" bestFit="1" customWidth="1"/>
    <col min="32" max="32" width="12" bestFit="1" customWidth="1"/>
  </cols>
  <sheetData>
    <row r="3" spans="2:32" x14ac:dyDescent="0.3">
      <c r="B3" t="s">
        <v>75</v>
      </c>
    </row>
    <row r="4" spans="2:32" x14ac:dyDescent="0.3">
      <c r="B4">
        <v>2240</v>
      </c>
    </row>
    <row r="5" spans="2:32" x14ac:dyDescent="0.3">
      <c r="B5">
        <v>560</v>
      </c>
      <c r="D5" t="s">
        <v>77</v>
      </c>
    </row>
    <row r="6" spans="2:32" x14ac:dyDescent="0.3">
      <c r="B6">
        <v>280</v>
      </c>
    </row>
    <row r="7" spans="2:32" x14ac:dyDescent="0.3">
      <c r="B7">
        <v>1970</v>
      </c>
      <c r="D7" s="15" t="s">
        <v>35</v>
      </c>
      <c r="E7" t="s">
        <v>76</v>
      </c>
      <c r="I7" s="20" t="s">
        <v>62</v>
      </c>
    </row>
    <row r="8" spans="2:32" x14ac:dyDescent="0.3">
      <c r="B8">
        <v>2300</v>
      </c>
      <c r="D8" s="9" t="s">
        <v>115</v>
      </c>
      <c r="E8" s="26">
        <v>1471.6</v>
      </c>
      <c r="I8" s="22">
        <v>1220</v>
      </c>
    </row>
    <row r="9" spans="2:32" x14ac:dyDescent="0.3">
      <c r="B9">
        <v>2300</v>
      </c>
      <c r="D9" s="21" t="s">
        <v>43</v>
      </c>
      <c r="E9" s="26">
        <v>1847.3333333333333</v>
      </c>
      <c r="I9" s="24">
        <v>180</v>
      </c>
    </row>
    <row r="10" spans="2:32" x14ac:dyDescent="0.3">
      <c r="B10">
        <v>1970</v>
      </c>
      <c r="D10" s="21" t="s">
        <v>42</v>
      </c>
      <c r="E10" s="26">
        <v>250</v>
      </c>
      <c r="I10">
        <v>70</v>
      </c>
      <c r="K10" s="15" t="s">
        <v>64</v>
      </c>
      <c r="L10" s="15" t="s">
        <v>81</v>
      </c>
    </row>
    <row r="11" spans="2:32" x14ac:dyDescent="0.3">
      <c r="B11">
        <v>1970</v>
      </c>
      <c r="D11" s="21" t="s">
        <v>44</v>
      </c>
      <c r="E11" s="26">
        <v>2500</v>
      </c>
      <c r="I11">
        <v>60</v>
      </c>
      <c r="L11" t="s">
        <v>115</v>
      </c>
      <c r="Y11" t="s">
        <v>116</v>
      </c>
      <c r="Z11" t="s">
        <v>53</v>
      </c>
      <c r="AA11" t="s">
        <v>117</v>
      </c>
      <c r="AB11" t="s">
        <v>55</v>
      </c>
      <c r="AC11" t="s">
        <v>118</v>
      </c>
      <c r="AD11" t="s">
        <v>56</v>
      </c>
      <c r="AE11" t="s">
        <v>119</v>
      </c>
      <c r="AF11" t="s">
        <v>37</v>
      </c>
    </row>
    <row r="12" spans="2:32" x14ac:dyDescent="0.3">
      <c r="B12">
        <v>1970</v>
      </c>
      <c r="D12" s="21" t="s">
        <v>45</v>
      </c>
      <c r="E12" s="26">
        <v>1250</v>
      </c>
      <c r="I12">
        <v>50</v>
      </c>
      <c r="K12" s="15" t="s">
        <v>35</v>
      </c>
      <c r="L12" t="s">
        <v>43</v>
      </c>
      <c r="M12" t="s">
        <v>42</v>
      </c>
      <c r="N12" t="s">
        <v>44</v>
      </c>
      <c r="O12" t="s">
        <v>45</v>
      </c>
      <c r="P12" t="s">
        <v>47</v>
      </c>
      <c r="Q12" t="s">
        <v>46</v>
      </c>
      <c r="R12" t="s">
        <v>41</v>
      </c>
      <c r="S12" t="s">
        <v>40</v>
      </c>
      <c r="T12" t="s">
        <v>48</v>
      </c>
      <c r="U12" t="s">
        <v>30</v>
      </c>
      <c r="V12" t="s">
        <v>24</v>
      </c>
      <c r="W12" t="s">
        <v>17</v>
      </c>
      <c r="X12" t="s">
        <v>15</v>
      </c>
      <c r="Z12" t="s">
        <v>53</v>
      </c>
      <c r="AB12" t="s">
        <v>55</v>
      </c>
      <c r="AD12" t="s">
        <v>56</v>
      </c>
    </row>
    <row r="13" spans="2:32" x14ac:dyDescent="0.3">
      <c r="B13">
        <v>2300</v>
      </c>
      <c r="D13" s="21" t="s">
        <v>47</v>
      </c>
      <c r="E13" s="26">
        <v>1260</v>
      </c>
      <c r="I13" s="24">
        <v>170</v>
      </c>
      <c r="K13" s="9" t="s">
        <v>54</v>
      </c>
      <c r="L13" s="26">
        <v>60</v>
      </c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>
        <v>60</v>
      </c>
      <c r="Z13" s="26">
        <v>58.333333333333336</v>
      </c>
      <c r="AA13" s="26">
        <v>58.333333333333336</v>
      </c>
      <c r="AB13" s="26">
        <v>57.5</v>
      </c>
      <c r="AC13" s="26">
        <v>57.5</v>
      </c>
      <c r="AD13" s="26">
        <v>70</v>
      </c>
      <c r="AE13" s="26">
        <v>70</v>
      </c>
      <c r="AF13" s="26">
        <v>61</v>
      </c>
    </row>
    <row r="14" spans="2:32" x14ac:dyDescent="0.3">
      <c r="B14">
        <v>2630</v>
      </c>
      <c r="D14" s="21" t="s">
        <v>46</v>
      </c>
      <c r="E14" s="26">
        <v>1440</v>
      </c>
      <c r="I14">
        <v>60</v>
      </c>
      <c r="K14" s="9" t="s">
        <v>14</v>
      </c>
      <c r="L14" s="26"/>
      <c r="M14" s="26">
        <v>20</v>
      </c>
      <c r="N14" s="26"/>
      <c r="O14" s="26"/>
      <c r="P14" s="26">
        <v>70</v>
      </c>
      <c r="Q14" s="26">
        <v>80</v>
      </c>
      <c r="R14" s="26">
        <v>10</v>
      </c>
      <c r="S14" s="26">
        <v>40</v>
      </c>
      <c r="T14" s="26">
        <v>60</v>
      </c>
      <c r="U14" s="26"/>
      <c r="V14" s="26">
        <v>146.66666666666666</v>
      </c>
      <c r="W14" s="26">
        <v>151</v>
      </c>
      <c r="X14" s="26">
        <v>146.66666666666666</v>
      </c>
      <c r="Y14" s="26">
        <v>124.82758620689656</v>
      </c>
      <c r="Z14" s="26"/>
      <c r="AA14" s="26"/>
      <c r="AB14" s="26"/>
      <c r="AC14" s="26"/>
      <c r="AD14" s="26"/>
      <c r="AE14" s="26"/>
      <c r="AF14" s="26">
        <v>124.82758620689656</v>
      </c>
    </row>
    <row r="15" spans="2:32" x14ac:dyDescent="0.3">
      <c r="B15">
        <v>1970</v>
      </c>
      <c r="D15" s="21" t="s">
        <v>41</v>
      </c>
      <c r="E15" s="26">
        <v>440</v>
      </c>
      <c r="I15">
        <v>50</v>
      </c>
      <c r="K15" s="9" t="s">
        <v>21</v>
      </c>
      <c r="L15" s="26">
        <v>36.666666666666664</v>
      </c>
      <c r="M15" s="26">
        <v>65</v>
      </c>
      <c r="N15" s="26">
        <v>100</v>
      </c>
      <c r="O15" s="26">
        <v>50</v>
      </c>
      <c r="P15" s="26">
        <v>70</v>
      </c>
      <c r="Q15" s="26">
        <v>80</v>
      </c>
      <c r="R15" s="26">
        <v>50</v>
      </c>
      <c r="S15" s="26">
        <v>90</v>
      </c>
      <c r="T15" s="26"/>
      <c r="U15" s="26">
        <v>160</v>
      </c>
      <c r="V15" s="26">
        <v>137.5</v>
      </c>
      <c r="W15" s="26">
        <v>136.66666666666666</v>
      </c>
      <c r="X15" s="26">
        <v>140</v>
      </c>
      <c r="Y15" s="26">
        <v>110.58823529411765</v>
      </c>
      <c r="Z15" s="26"/>
      <c r="AA15" s="26"/>
      <c r="AB15" s="26"/>
      <c r="AC15" s="26"/>
      <c r="AD15" s="26"/>
      <c r="AE15" s="26"/>
      <c r="AF15" s="26">
        <v>110.58823529411765</v>
      </c>
    </row>
    <row r="16" spans="2:32" x14ac:dyDescent="0.3">
      <c r="B16">
        <v>1640</v>
      </c>
      <c r="D16" s="21" t="s">
        <v>40</v>
      </c>
      <c r="E16" s="26">
        <v>930</v>
      </c>
      <c r="I16">
        <v>60</v>
      </c>
      <c r="K16" s="9" t="s">
        <v>52</v>
      </c>
      <c r="L16" s="26">
        <v>65</v>
      </c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>
        <v>65</v>
      </c>
      <c r="Z16" s="26">
        <v>66</v>
      </c>
      <c r="AA16" s="26">
        <v>66</v>
      </c>
      <c r="AB16" s="26">
        <v>56.666666666666664</v>
      </c>
      <c r="AC16" s="26">
        <v>56.666666666666664</v>
      </c>
      <c r="AD16" s="26"/>
      <c r="AE16" s="26"/>
      <c r="AF16" s="26">
        <v>63.18181818181818</v>
      </c>
    </row>
    <row r="17" spans="2:32" x14ac:dyDescent="0.3">
      <c r="B17">
        <v>1970</v>
      </c>
      <c r="D17" s="21" t="s">
        <v>48</v>
      </c>
      <c r="E17" s="26">
        <v>360</v>
      </c>
      <c r="I17" s="24">
        <v>130</v>
      </c>
      <c r="K17" s="9" t="s">
        <v>37</v>
      </c>
      <c r="L17" s="26">
        <v>57.333333333333336</v>
      </c>
      <c r="M17" s="26">
        <v>50</v>
      </c>
      <c r="N17" s="26">
        <v>100</v>
      </c>
      <c r="O17" s="26">
        <v>50</v>
      </c>
      <c r="P17" s="26">
        <v>70</v>
      </c>
      <c r="Q17" s="26">
        <v>80</v>
      </c>
      <c r="R17" s="26">
        <v>36.666666666666664</v>
      </c>
      <c r="S17" s="26">
        <v>77.5</v>
      </c>
      <c r="T17" s="26">
        <v>60</v>
      </c>
      <c r="U17" s="26">
        <v>160</v>
      </c>
      <c r="V17" s="26">
        <v>143</v>
      </c>
      <c r="W17" s="26">
        <v>145.625</v>
      </c>
      <c r="X17" s="26">
        <v>143.33333333333334</v>
      </c>
      <c r="Y17" s="26">
        <v>108.4</v>
      </c>
      <c r="Z17" s="26">
        <v>63.125</v>
      </c>
      <c r="AA17" s="26">
        <v>63.125</v>
      </c>
      <c r="AB17" s="26">
        <v>57</v>
      </c>
      <c r="AC17" s="26">
        <v>57</v>
      </c>
      <c r="AD17" s="26">
        <v>70</v>
      </c>
      <c r="AE17" s="26">
        <v>70</v>
      </c>
      <c r="AF17" s="26">
        <v>95.142857142857139</v>
      </c>
    </row>
    <row r="18" spans="2:32" x14ac:dyDescent="0.3">
      <c r="B18">
        <v>1640</v>
      </c>
      <c r="D18" s="21" t="s">
        <v>30</v>
      </c>
      <c r="E18" s="26">
        <v>800</v>
      </c>
      <c r="I18">
        <v>70</v>
      </c>
    </row>
    <row r="19" spans="2:32" x14ac:dyDescent="0.3">
      <c r="B19" s="22"/>
      <c r="D19" s="21" t="s">
        <v>24</v>
      </c>
      <c r="E19" s="26">
        <v>1430</v>
      </c>
      <c r="I19">
        <v>60</v>
      </c>
    </row>
    <row r="20" spans="2:32" x14ac:dyDescent="0.3">
      <c r="B20">
        <v>2300</v>
      </c>
      <c r="D20" s="21" t="s">
        <v>17</v>
      </c>
      <c r="E20" s="26">
        <v>1747.5</v>
      </c>
      <c r="I20" s="24">
        <v>120</v>
      </c>
    </row>
    <row r="21" spans="2:32" x14ac:dyDescent="0.3">
      <c r="B21">
        <v>1970</v>
      </c>
      <c r="D21" s="21" t="s">
        <v>15</v>
      </c>
      <c r="E21" s="26">
        <v>1720</v>
      </c>
      <c r="I21">
        <v>60</v>
      </c>
    </row>
    <row r="22" spans="2:32" x14ac:dyDescent="0.3">
      <c r="B22">
        <v>2300</v>
      </c>
      <c r="D22" s="9" t="s">
        <v>53</v>
      </c>
      <c r="E22" s="26">
        <v>2073.125</v>
      </c>
      <c r="I22">
        <v>60</v>
      </c>
    </row>
    <row r="23" spans="2:32" x14ac:dyDescent="0.3">
      <c r="B23">
        <v>1970</v>
      </c>
      <c r="D23" s="21" t="s">
        <v>53</v>
      </c>
      <c r="E23" s="26">
        <v>2073.125</v>
      </c>
      <c r="I23" s="24">
        <v>110</v>
      </c>
    </row>
    <row r="24" spans="2:32" x14ac:dyDescent="0.3">
      <c r="B24">
        <v>1640</v>
      </c>
      <c r="D24" s="9" t="s">
        <v>55</v>
      </c>
      <c r="E24" s="26">
        <v>4016</v>
      </c>
      <c r="I24">
        <v>50</v>
      </c>
    </row>
    <row r="25" spans="2:32" x14ac:dyDescent="0.3">
      <c r="B25">
        <v>2300</v>
      </c>
      <c r="D25" s="21" t="s">
        <v>55</v>
      </c>
      <c r="E25" s="26">
        <v>4016</v>
      </c>
      <c r="I25">
        <v>60</v>
      </c>
    </row>
    <row r="26" spans="2:32" x14ac:dyDescent="0.3">
      <c r="B26">
        <v>1970</v>
      </c>
      <c r="D26" s="9" t="s">
        <v>56</v>
      </c>
      <c r="E26" s="26">
        <v>1645</v>
      </c>
      <c r="I26" s="24">
        <v>130</v>
      </c>
    </row>
    <row r="27" spans="2:32" x14ac:dyDescent="0.3">
      <c r="B27">
        <v>2630</v>
      </c>
      <c r="D27" s="21" t="s">
        <v>56</v>
      </c>
      <c r="E27" s="26">
        <v>1645</v>
      </c>
      <c r="I27">
        <v>50</v>
      </c>
    </row>
    <row r="28" spans="2:32" x14ac:dyDescent="0.3">
      <c r="B28">
        <v>1970</v>
      </c>
      <c r="D28" s="9" t="s">
        <v>37</v>
      </c>
      <c r="E28" s="26">
        <v>1812.1904761904761</v>
      </c>
      <c r="I28">
        <v>80</v>
      </c>
    </row>
    <row r="29" spans="2:32" x14ac:dyDescent="0.3">
      <c r="B29">
        <v>2300</v>
      </c>
      <c r="I29" s="24">
        <v>180</v>
      </c>
    </row>
    <row r="30" spans="2:32" x14ac:dyDescent="0.3">
      <c r="B30">
        <v>1970</v>
      </c>
      <c r="I30">
        <v>60</v>
      </c>
    </row>
    <row r="31" spans="2:32" x14ac:dyDescent="0.3">
      <c r="B31">
        <v>1970</v>
      </c>
      <c r="I31">
        <v>60</v>
      </c>
    </row>
    <row r="32" spans="2:32" x14ac:dyDescent="0.3">
      <c r="B32">
        <v>1970</v>
      </c>
      <c r="I32">
        <v>60</v>
      </c>
    </row>
    <row r="33" spans="2:9" x14ac:dyDescent="0.3">
      <c r="B33">
        <v>1970</v>
      </c>
      <c r="I33" s="24">
        <v>200</v>
      </c>
    </row>
    <row r="34" spans="2:9" x14ac:dyDescent="0.3">
      <c r="B34">
        <v>1970</v>
      </c>
      <c r="I34">
        <v>60</v>
      </c>
    </row>
    <row r="35" spans="2:9" x14ac:dyDescent="0.3">
      <c r="B35">
        <v>1970</v>
      </c>
      <c r="I35">
        <v>60</v>
      </c>
    </row>
    <row r="36" spans="2:9" x14ac:dyDescent="0.3">
      <c r="B36" s="22"/>
      <c r="I36">
        <v>80</v>
      </c>
    </row>
    <row r="37" spans="2:9" x14ac:dyDescent="0.3">
      <c r="B37">
        <v>300</v>
      </c>
      <c r="I37" s="22">
        <v>3620</v>
      </c>
    </row>
    <row r="38" spans="2:9" x14ac:dyDescent="0.3">
      <c r="B38">
        <v>100</v>
      </c>
      <c r="I38" s="24">
        <v>350</v>
      </c>
    </row>
    <row r="39" spans="2:9" x14ac:dyDescent="0.3">
      <c r="B39">
        <v>350</v>
      </c>
      <c r="I39">
        <v>20</v>
      </c>
    </row>
    <row r="40" spans="2:9" x14ac:dyDescent="0.3">
      <c r="B40" s="22"/>
      <c r="I40">
        <v>140</v>
      </c>
    </row>
    <row r="41" spans="2:9" x14ac:dyDescent="0.3">
      <c r="B41">
        <v>2500</v>
      </c>
      <c r="I41">
        <v>80</v>
      </c>
    </row>
    <row r="42" spans="2:9" x14ac:dyDescent="0.3">
      <c r="B42" s="22"/>
      <c r="I42">
        <v>10</v>
      </c>
    </row>
    <row r="43" spans="2:9" x14ac:dyDescent="0.3">
      <c r="B43">
        <v>1250</v>
      </c>
      <c r="I43">
        <v>40</v>
      </c>
    </row>
    <row r="44" spans="2:9" x14ac:dyDescent="0.3">
      <c r="B44" s="22"/>
      <c r="I44">
        <v>60</v>
      </c>
    </row>
    <row r="45" spans="2:9" x14ac:dyDescent="0.3">
      <c r="B45">
        <v>2520</v>
      </c>
      <c r="I45" s="24">
        <v>460</v>
      </c>
    </row>
    <row r="46" spans="2:9" x14ac:dyDescent="0.3">
      <c r="B46">
        <v>1260</v>
      </c>
      <c r="I46">
        <v>140</v>
      </c>
    </row>
    <row r="47" spans="2:9" x14ac:dyDescent="0.3">
      <c r="B47" s="22"/>
      <c r="I47">
        <v>130</v>
      </c>
    </row>
    <row r="48" spans="2:9" x14ac:dyDescent="0.3">
      <c r="B48">
        <v>1440</v>
      </c>
      <c r="I48">
        <v>190</v>
      </c>
    </row>
    <row r="49" spans="2:9" x14ac:dyDescent="0.3">
      <c r="B49">
        <v>1440</v>
      </c>
      <c r="I49" s="24">
        <v>420</v>
      </c>
    </row>
    <row r="50" spans="2:9" x14ac:dyDescent="0.3">
      <c r="B50" s="22"/>
      <c r="I50">
        <v>160</v>
      </c>
    </row>
    <row r="51" spans="2:9" x14ac:dyDescent="0.3">
      <c r="B51">
        <v>360</v>
      </c>
      <c r="I51">
        <v>140</v>
      </c>
    </row>
    <row r="52" spans="2:9" x14ac:dyDescent="0.3">
      <c r="B52">
        <v>120</v>
      </c>
      <c r="I52">
        <v>120</v>
      </c>
    </row>
    <row r="53" spans="2:9" x14ac:dyDescent="0.3">
      <c r="B53">
        <v>840</v>
      </c>
      <c r="I53" s="24">
        <v>280</v>
      </c>
    </row>
    <row r="54" spans="2:9" x14ac:dyDescent="0.3">
      <c r="B54" s="22"/>
      <c r="I54">
        <v>140</v>
      </c>
    </row>
    <row r="55" spans="2:9" x14ac:dyDescent="0.3">
      <c r="B55">
        <v>1560</v>
      </c>
      <c r="I55">
        <v>140</v>
      </c>
    </row>
    <row r="56" spans="2:9" x14ac:dyDescent="0.3">
      <c r="B56">
        <v>1200</v>
      </c>
      <c r="I56" s="24">
        <v>280</v>
      </c>
    </row>
    <row r="57" spans="2:9" x14ac:dyDescent="0.3">
      <c r="B57">
        <v>480</v>
      </c>
      <c r="I57">
        <v>140</v>
      </c>
    </row>
    <row r="58" spans="2:9" x14ac:dyDescent="0.3">
      <c r="B58">
        <v>480</v>
      </c>
      <c r="I58">
        <v>140</v>
      </c>
    </row>
    <row r="59" spans="2:9" x14ac:dyDescent="0.3">
      <c r="B59" s="22"/>
      <c r="I59" s="24">
        <v>270</v>
      </c>
    </row>
    <row r="60" spans="2:9" x14ac:dyDescent="0.3">
      <c r="B60">
        <v>3520</v>
      </c>
      <c r="I60">
        <v>150</v>
      </c>
    </row>
    <row r="61" spans="2:9" x14ac:dyDescent="0.3">
      <c r="B61">
        <v>4230</v>
      </c>
      <c r="I61">
        <v>120</v>
      </c>
    </row>
    <row r="62" spans="2:9" x14ac:dyDescent="0.3">
      <c r="B62">
        <v>3520</v>
      </c>
      <c r="I62" s="24">
        <v>310</v>
      </c>
    </row>
    <row r="63" spans="2:9" x14ac:dyDescent="0.3">
      <c r="B63">
        <v>4230</v>
      </c>
      <c r="I63">
        <v>140</v>
      </c>
    </row>
    <row r="64" spans="2:9" x14ac:dyDescent="0.3">
      <c r="B64">
        <v>4930</v>
      </c>
      <c r="I64">
        <v>170</v>
      </c>
    </row>
    <row r="65" spans="2:9" x14ac:dyDescent="0.3">
      <c r="B65">
        <v>4230</v>
      </c>
      <c r="I65" s="24">
        <v>270</v>
      </c>
    </row>
    <row r="66" spans="2:9" x14ac:dyDescent="0.3">
      <c r="B66">
        <v>3520</v>
      </c>
      <c r="I66">
        <v>130</v>
      </c>
    </row>
    <row r="67" spans="2:9" x14ac:dyDescent="0.3">
      <c r="B67">
        <v>3520</v>
      </c>
      <c r="I67">
        <v>140</v>
      </c>
    </row>
    <row r="68" spans="2:9" x14ac:dyDescent="0.3">
      <c r="B68">
        <v>4230</v>
      </c>
      <c r="I68" s="24">
        <v>330</v>
      </c>
    </row>
    <row r="69" spans="2:9" x14ac:dyDescent="0.3">
      <c r="B69">
        <v>4230</v>
      </c>
      <c r="I69">
        <v>140</v>
      </c>
    </row>
    <row r="70" spans="2:9" x14ac:dyDescent="0.3">
      <c r="B70" s="22"/>
      <c r="I70">
        <v>190</v>
      </c>
    </row>
    <row r="71" spans="2:9" x14ac:dyDescent="0.3">
      <c r="B71">
        <v>1410</v>
      </c>
      <c r="I71" s="24">
        <v>300</v>
      </c>
    </row>
    <row r="72" spans="2:9" x14ac:dyDescent="0.3">
      <c r="B72">
        <v>1880</v>
      </c>
      <c r="I72">
        <v>120</v>
      </c>
    </row>
    <row r="73" spans="2:9" x14ac:dyDescent="0.3">
      <c r="B73">
        <v>1410</v>
      </c>
      <c r="I73">
        <v>180</v>
      </c>
    </row>
    <row r="74" spans="2:9" x14ac:dyDescent="0.3">
      <c r="B74">
        <v>1880</v>
      </c>
      <c r="I74" s="24">
        <v>350</v>
      </c>
    </row>
    <row r="75" spans="2:9" x14ac:dyDescent="0.3">
      <c r="B75" s="22"/>
      <c r="I75">
        <v>190</v>
      </c>
    </row>
    <row r="76" spans="2:9" x14ac:dyDescent="0.3">
      <c r="B76">
        <v>360</v>
      </c>
      <c r="I76">
        <v>160</v>
      </c>
    </row>
    <row r="77" spans="2:9" x14ac:dyDescent="0.3">
      <c r="B77" s="22"/>
      <c r="I77" s="22">
        <v>3760</v>
      </c>
    </row>
    <row r="78" spans="2:9" x14ac:dyDescent="0.3">
      <c r="B78">
        <v>950</v>
      </c>
      <c r="I78" s="24">
        <v>300</v>
      </c>
    </row>
    <row r="79" spans="2:9" x14ac:dyDescent="0.3">
      <c r="B79">
        <v>600</v>
      </c>
      <c r="I79">
        <v>80</v>
      </c>
    </row>
    <row r="80" spans="2:9" x14ac:dyDescent="0.3">
      <c r="B80">
        <v>850</v>
      </c>
      <c r="I80">
        <v>60</v>
      </c>
    </row>
    <row r="81" spans="2:9" x14ac:dyDescent="0.3">
      <c r="B81">
        <v>800</v>
      </c>
      <c r="I81">
        <v>30</v>
      </c>
    </row>
    <row r="82" spans="2:9" x14ac:dyDescent="0.3">
      <c r="B82" s="22"/>
      <c r="I82">
        <v>130</v>
      </c>
    </row>
    <row r="83" spans="2:9" x14ac:dyDescent="0.3">
      <c r="B83">
        <v>1400</v>
      </c>
      <c r="I83" s="24">
        <v>220</v>
      </c>
    </row>
    <row r="84" spans="2:9" x14ac:dyDescent="0.3">
      <c r="B84">
        <v>1600</v>
      </c>
      <c r="I84">
        <v>20</v>
      </c>
    </row>
    <row r="85" spans="2:9" x14ac:dyDescent="0.3">
      <c r="B85">
        <v>1200</v>
      </c>
      <c r="I85">
        <v>100</v>
      </c>
    </row>
    <row r="86" spans="2:9" x14ac:dyDescent="0.3">
      <c r="B86">
        <v>1000</v>
      </c>
      <c r="I86">
        <v>100</v>
      </c>
    </row>
    <row r="87" spans="2:9" x14ac:dyDescent="0.3">
      <c r="B87">
        <v>1300</v>
      </c>
      <c r="I87" s="24">
        <v>390</v>
      </c>
    </row>
    <row r="88" spans="2:9" x14ac:dyDescent="0.3">
      <c r="B88">
        <v>1400</v>
      </c>
      <c r="I88">
        <v>10</v>
      </c>
    </row>
    <row r="89" spans="2:9" x14ac:dyDescent="0.3">
      <c r="B89">
        <v>1400</v>
      </c>
      <c r="I89">
        <v>70</v>
      </c>
    </row>
    <row r="90" spans="2:9" x14ac:dyDescent="0.3">
      <c r="B90">
        <v>1200</v>
      </c>
      <c r="I90">
        <v>50</v>
      </c>
    </row>
    <row r="91" spans="2:9" x14ac:dyDescent="0.3">
      <c r="B91">
        <v>3800</v>
      </c>
      <c r="I91">
        <v>70</v>
      </c>
    </row>
    <row r="92" spans="2:9" x14ac:dyDescent="0.3">
      <c r="B92" s="22"/>
      <c r="I92">
        <v>80</v>
      </c>
    </row>
    <row r="93" spans="2:9" x14ac:dyDescent="0.3">
      <c r="B93">
        <v>1920</v>
      </c>
      <c r="I93">
        <v>70</v>
      </c>
    </row>
    <row r="94" spans="2:9" x14ac:dyDescent="0.3">
      <c r="B94">
        <v>1560</v>
      </c>
      <c r="I94">
        <v>40</v>
      </c>
    </row>
    <row r="95" spans="2:9" x14ac:dyDescent="0.3">
      <c r="B95">
        <v>1320</v>
      </c>
      <c r="I95" s="24">
        <v>300</v>
      </c>
    </row>
    <row r="96" spans="2:9" x14ac:dyDescent="0.3">
      <c r="B96">
        <v>1680</v>
      </c>
      <c r="I96">
        <v>160</v>
      </c>
    </row>
    <row r="97" spans="2:9" x14ac:dyDescent="0.3">
      <c r="B97">
        <v>1680</v>
      </c>
      <c r="I97">
        <v>140</v>
      </c>
    </row>
    <row r="98" spans="2:9" x14ac:dyDescent="0.3">
      <c r="B98">
        <v>1560</v>
      </c>
      <c r="I98" s="24">
        <v>310</v>
      </c>
    </row>
    <row r="99" spans="2:9" x14ac:dyDescent="0.3">
      <c r="B99">
        <v>1680</v>
      </c>
      <c r="I99">
        <v>190</v>
      </c>
    </row>
    <row r="100" spans="2:9" x14ac:dyDescent="0.3">
      <c r="B100">
        <v>1800</v>
      </c>
      <c r="I100">
        <v>120</v>
      </c>
    </row>
    <row r="101" spans="2:9" x14ac:dyDescent="0.3">
      <c r="B101">
        <v>1800</v>
      </c>
      <c r="I101" s="24">
        <v>230</v>
      </c>
    </row>
    <row r="102" spans="2:9" x14ac:dyDescent="0.3">
      <c r="B102">
        <v>1680</v>
      </c>
      <c r="I102">
        <v>110</v>
      </c>
    </row>
    <row r="103" spans="2:9" x14ac:dyDescent="0.3">
      <c r="B103">
        <v>1680</v>
      </c>
      <c r="I103">
        <v>120</v>
      </c>
    </row>
    <row r="104" spans="2:9" x14ac:dyDescent="0.3">
      <c r="B104">
        <v>1440</v>
      </c>
      <c r="I104" s="24">
        <v>320</v>
      </c>
    </row>
    <row r="105" spans="2:9" x14ac:dyDescent="0.3">
      <c r="B105">
        <v>2280</v>
      </c>
      <c r="I105">
        <v>120</v>
      </c>
    </row>
    <row r="106" spans="2:9" x14ac:dyDescent="0.3">
      <c r="B106">
        <v>2160</v>
      </c>
      <c r="I106">
        <v>200</v>
      </c>
    </row>
    <row r="107" spans="2:9" x14ac:dyDescent="0.3">
      <c r="B107">
        <v>3720</v>
      </c>
      <c r="I107" s="24">
        <v>370</v>
      </c>
    </row>
    <row r="108" spans="2:9" x14ac:dyDescent="0.3">
      <c r="B108" s="22"/>
      <c r="I108">
        <v>120</v>
      </c>
    </row>
    <row r="109" spans="2:9" x14ac:dyDescent="0.3">
      <c r="B109">
        <v>1680</v>
      </c>
      <c r="I109">
        <v>130</v>
      </c>
    </row>
    <row r="110" spans="2:9" x14ac:dyDescent="0.3">
      <c r="B110">
        <v>2280</v>
      </c>
      <c r="I110">
        <v>120</v>
      </c>
    </row>
    <row r="111" spans="2:9" x14ac:dyDescent="0.3">
      <c r="B111">
        <v>1440</v>
      </c>
      <c r="I111" s="24">
        <v>390</v>
      </c>
    </row>
    <row r="112" spans="2:9" x14ac:dyDescent="0.3">
      <c r="B112">
        <v>1440</v>
      </c>
      <c r="I112">
        <v>100</v>
      </c>
    </row>
    <row r="113" spans="2:9" x14ac:dyDescent="0.3">
      <c r="B113">
        <v>3840</v>
      </c>
      <c r="I113">
        <v>150</v>
      </c>
    </row>
    <row r="114" spans="2:9" x14ac:dyDescent="0.3">
      <c r="B114">
        <v>1680</v>
      </c>
      <c r="I114">
        <v>140</v>
      </c>
    </row>
    <row r="115" spans="2:9" x14ac:dyDescent="0.3">
      <c r="B115">
        <v>1440</v>
      </c>
      <c r="I115" s="24">
        <v>430</v>
      </c>
    </row>
    <row r="116" spans="2:9" x14ac:dyDescent="0.3">
      <c r="B116">
        <v>1680</v>
      </c>
      <c r="I116">
        <v>170</v>
      </c>
    </row>
    <row r="117" spans="2:9" x14ac:dyDescent="0.3">
      <c r="B117">
        <v>1440</v>
      </c>
      <c r="I117">
        <v>140</v>
      </c>
    </row>
    <row r="118" spans="2:9" x14ac:dyDescent="0.3">
      <c r="B118">
        <v>1680</v>
      </c>
      <c r="I118">
        <v>120</v>
      </c>
    </row>
    <row r="119" spans="2:9" x14ac:dyDescent="0.3">
      <c r="B119">
        <v>2040</v>
      </c>
      <c r="I119" s="24">
        <v>500</v>
      </c>
    </row>
    <row r="120" spans="2:9" x14ac:dyDescent="0.3">
      <c r="I120">
        <v>160</v>
      </c>
    </row>
    <row r="121" spans="2:9" x14ac:dyDescent="0.3">
      <c r="I121">
        <v>190</v>
      </c>
    </row>
    <row r="122" spans="2:9" x14ac:dyDescent="0.3">
      <c r="I122">
        <v>150</v>
      </c>
    </row>
    <row r="123" spans="2:9" x14ac:dyDescent="0.3">
      <c r="I123" s="22">
        <v>1390</v>
      </c>
    </row>
    <row r="124" spans="2:9" x14ac:dyDescent="0.3">
      <c r="I124" s="24">
        <v>130</v>
      </c>
    </row>
    <row r="125" spans="2:9" x14ac:dyDescent="0.3">
      <c r="I125">
        <v>60</v>
      </c>
    </row>
    <row r="126" spans="2:9" x14ac:dyDescent="0.3">
      <c r="I126">
        <v>70</v>
      </c>
    </row>
    <row r="127" spans="2:9" x14ac:dyDescent="0.3">
      <c r="I127" s="24">
        <v>140</v>
      </c>
    </row>
    <row r="128" spans="2:9" x14ac:dyDescent="0.3">
      <c r="I128">
        <v>70</v>
      </c>
    </row>
    <row r="129" spans="9:9" x14ac:dyDescent="0.3">
      <c r="I129">
        <v>70</v>
      </c>
    </row>
    <row r="130" spans="9:9" x14ac:dyDescent="0.3">
      <c r="I130" s="24">
        <v>120</v>
      </c>
    </row>
    <row r="131" spans="9:9" x14ac:dyDescent="0.3">
      <c r="I131">
        <v>60</v>
      </c>
    </row>
    <row r="132" spans="9:9" x14ac:dyDescent="0.3">
      <c r="I132">
        <v>60</v>
      </c>
    </row>
    <row r="133" spans="9:9" x14ac:dyDescent="0.3">
      <c r="I133" s="24">
        <v>130</v>
      </c>
    </row>
    <row r="134" spans="9:9" x14ac:dyDescent="0.3">
      <c r="I134">
        <v>60</v>
      </c>
    </row>
    <row r="135" spans="9:9" x14ac:dyDescent="0.3">
      <c r="I135">
        <v>70</v>
      </c>
    </row>
    <row r="136" spans="9:9" x14ac:dyDescent="0.3">
      <c r="I136" s="24">
        <v>210</v>
      </c>
    </row>
    <row r="137" spans="9:9" x14ac:dyDescent="0.3">
      <c r="I137">
        <v>80</v>
      </c>
    </row>
    <row r="138" spans="9:9" x14ac:dyDescent="0.3">
      <c r="I138">
        <v>80</v>
      </c>
    </row>
    <row r="139" spans="9:9" x14ac:dyDescent="0.3">
      <c r="I139">
        <v>50</v>
      </c>
    </row>
    <row r="140" spans="9:9" x14ac:dyDescent="0.3">
      <c r="I140" s="24">
        <v>190</v>
      </c>
    </row>
    <row r="141" spans="9:9" x14ac:dyDescent="0.3">
      <c r="I141">
        <v>60</v>
      </c>
    </row>
    <row r="142" spans="9:9" x14ac:dyDescent="0.3">
      <c r="I142">
        <v>70</v>
      </c>
    </row>
    <row r="143" spans="9:9" x14ac:dyDescent="0.3">
      <c r="I143">
        <v>60</v>
      </c>
    </row>
    <row r="144" spans="9:9" x14ac:dyDescent="0.3">
      <c r="I144" s="24">
        <v>130</v>
      </c>
    </row>
    <row r="145" spans="9:9" x14ac:dyDescent="0.3">
      <c r="I145">
        <v>60</v>
      </c>
    </row>
    <row r="146" spans="9:9" x14ac:dyDescent="0.3">
      <c r="I146">
        <v>70</v>
      </c>
    </row>
    <row r="147" spans="9:9" x14ac:dyDescent="0.3">
      <c r="I147" s="24">
        <v>110</v>
      </c>
    </row>
    <row r="148" spans="9:9" x14ac:dyDescent="0.3">
      <c r="I148">
        <v>60</v>
      </c>
    </row>
    <row r="149" spans="9:9" x14ac:dyDescent="0.3">
      <c r="I149">
        <v>50</v>
      </c>
    </row>
    <row r="150" spans="9:9" x14ac:dyDescent="0.3">
      <c r="I150" s="24">
        <v>110</v>
      </c>
    </row>
    <row r="151" spans="9:9" x14ac:dyDescent="0.3">
      <c r="I151">
        <v>60</v>
      </c>
    </row>
    <row r="152" spans="9:9" x14ac:dyDescent="0.3">
      <c r="I152">
        <v>50</v>
      </c>
    </row>
    <row r="153" spans="9:9" x14ac:dyDescent="0.3">
      <c r="I153" s="24">
        <v>120</v>
      </c>
    </row>
    <row r="154" spans="9:9" x14ac:dyDescent="0.3">
      <c r="I154">
        <v>60</v>
      </c>
    </row>
    <row r="155" spans="9:9" x14ac:dyDescent="0.3">
      <c r="I155">
        <v>60</v>
      </c>
    </row>
    <row r="156" spans="9:9" x14ac:dyDescent="0.3">
      <c r="I156" s="25">
        <v>9990</v>
      </c>
    </row>
  </sheetData>
  <pageMargins left="0.7" right="0.7" top="0.75" bottom="0.75" header="0.3" footer="0.3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Case Study </vt:lpstr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Wavhal</dc:creator>
  <cp:lastModifiedBy>priti Gaikwad</cp:lastModifiedBy>
  <dcterms:created xsi:type="dcterms:W3CDTF">2024-01-16T06:49:27Z</dcterms:created>
  <dcterms:modified xsi:type="dcterms:W3CDTF">2025-09-26T13:02:08Z</dcterms:modified>
</cp:coreProperties>
</file>