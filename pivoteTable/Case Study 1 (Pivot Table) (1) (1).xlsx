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\Excel\"/>
    </mc:Choice>
  </mc:AlternateContent>
  <xr:revisionPtr revIDLastSave="0" documentId="13_ncr:1_{C7736F89-1CCB-4542-A731-BE69F095BAF2}" xr6:coauthVersionLast="47" xr6:coauthVersionMax="47" xr10:uidLastSave="{00000000-0000-0000-0000-000000000000}"/>
  <bookViews>
    <workbookView xWindow="-108" yWindow="-108" windowWidth="23256" windowHeight="12456" xr2:uid="{36E1DAE4-3135-4FDC-9DD0-A3FD0576339A}"/>
  </bookViews>
  <sheets>
    <sheet name="Data" sheetId="1" r:id="rId1"/>
    <sheet name="Case Study" sheetId="2" r:id="rId2"/>
    <sheet name="Q1toQ3" sheetId="3" r:id="rId3"/>
    <sheet name="q4toq10" sheetId="5" r:id="rId4"/>
    <sheet name="q11to19" sheetId="6" r:id="rId5"/>
    <sheet name="q20to22" sheetId="8" r:id="rId6"/>
  </sheets>
  <calcPr calcId="191029"/>
  <pivotCaches>
    <pivotCache cacheId="4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2" i="1"/>
</calcChain>
</file>

<file path=xl/sharedStrings.xml><?xml version="1.0" encoding="utf-8"?>
<sst xmlns="http://schemas.openxmlformats.org/spreadsheetml/2006/main" count="980" uniqueCount="147">
  <si>
    <t>Sr. No.</t>
  </si>
  <si>
    <t>Product</t>
  </si>
  <si>
    <t>Region</t>
  </si>
  <si>
    <t>Names</t>
  </si>
  <si>
    <t>Units</t>
  </si>
  <si>
    <t>Sales</t>
  </si>
  <si>
    <t>COGS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</si>
  <si>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</si>
  <si>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</si>
  <si>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</si>
  <si>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</si>
  <si>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</si>
  <si>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</si>
  <si>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</si>
  <si>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</si>
  <si>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</si>
  <si>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</si>
  <si>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</si>
  <si>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</si>
  <si>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</si>
  <si>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</si>
  <si>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</si>
  <si>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</si>
  <si>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</si>
  <si>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</si>
  <si>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</si>
  <si>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</si>
  <si>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</si>
  <si>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</si>
  <si>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</si>
  <si>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</si>
  <si>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</si>
  <si>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</si>
  <si>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</si>
  <si>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</si>
  <si>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</si>
  <si>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</si>
  <si>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</si>
  <si>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</si>
  <si>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</si>
  <si>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</si>
  <si>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</si>
  <si>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</si>
  <si>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</si>
  <si>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</si>
  <si>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</si>
  <si>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</si>
  <si>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</si>
  <si>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</si>
  <si>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</si>
  <si>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</si>
  <si>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</si>
  <si>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</si>
  <si>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</si>
  <si>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</si>
  <si>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</si>
  <si>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</si>
  <si>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</si>
  <si>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</si>
  <si>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</si>
  <si>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</si>
  <si>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</si>
  <si>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</si>
  <si>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</si>
  <si>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</si>
  <si>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</si>
  <si>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</si>
  <si>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</si>
  <si>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</si>
  <si>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</si>
  <si>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</si>
  <si>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</si>
  <si>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</si>
  <si>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</si>
  <si>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</si>
  <si>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</si>
  <si>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</si>
  <si>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</si>
  <si>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</si>
  <si>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</si>
  <si>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</si>
  <si>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</si>
  <si>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</si>
  <si>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</si>
  <si>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</si>
  <si>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</si>
  <si>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</si>
  <si>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</si>
  <si>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</si>
  <si>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</si>
  <si>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</si>
  <si>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</si>
  <si>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</si>
  <si>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</si>
  <si>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</si>
  <si>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</si>
  <si>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</si>
  <si>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</si>
  <si>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</si>
  <si>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</si>
  <si>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</si>
  <si>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</si>
  <si>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</si>
  <si>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</si>
  <si>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</si>
  <si>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</si>
  <si>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</si>
  <si>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</si>
  <si>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</si>
  <si>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</si>
  <si>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 xml:space="preserve">Product wise Sales </t>
  </si>
  <si>
    <t>Total Sales by Region</t>
  </si>
  <si>
    <t xml:space="preserve">Total sales by sales representative </t>
  </si>
  <si>
    <t>Who sold max units</t>
  </si>
  <si>
    <t xml:space="preserve">in which region had max sale , min sale </t>
  </si>
  <si>
    <t xml:space="preserve">which product had max sale by unit </t>
  </si>
  <si>
    <t xml:space="preserve">Most exp product </t>
  </si>
  <si>
    <t xml:space="preserve">least exp product </t>
  </si>
  <si>
    <t>product and region wise max sales</t>
  </si>
  <si>
    <t xml:space="preserve">avg sales of prduct </t>
  </si>
  <si>
    <t>Region wise sales per product</t>
  </si>
  <si>
    <t>Who sales max in south</t>
  </si>
  <si>
    <t>Column Labels</t>
  </si>
  <si>
    <t>Grand Total</t>
  </si>
  <si>
    <t>Sum of Units</t>
  </si>
  <si>
    <t>Row Labels</t>
  </si>
  <si>
    <t>Sum of Sales</t>
  </si>
  <si>
    <t>Average of Sales</t>
  </si>
  <si>
    <t>Sum of COGS</t>
  </si>
  <si>
    <t>Count of Product</t>
  </si>
  <si>
    <t>Average of Units</t>
  </si>
  <si>
    <t>COGS per Unit</t>
  </si>
  <si>
    <t>Average of COGS per Unit</t>
  </si>
  <si>
    <t>Q11.</t>
  </si>
  <si>
    <t>Product wise sales</t>
  </si>
  <si>
    <t xml:space="preserve">13.Total sales by sales representative </t>
  </si>
  <si>
    <t>14.Who sold max units</t>
  </si>
  <si>
    <t xml:space="preserve">15.in which region had max sale , min sale </t>
  </si>
  <si>
    <t xml:space="preserve">16which product had max sale by unit </t>
  </si>
  <si>
    <t xml:space="preserve">17.Most exp product </t>
  </si>
  <si>
    <t>Price per Unit</t>
  </si>
  <si>
    <t>Average of Price per Unit</t>
  </si>
  <si>
    <t xml:space="preserve">18.least exp product </t>
  </si>
  <si>
    <t>19.product and region wise max sales</t>
  </si>
  <si>
    <t xml:space="preserve">20.avg sales of prduct </t>
  </si>
  <si>
    <t>21.Region wise sales per product</t>
  </si>
  <si>
    <t>22.Who sales max in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</si>
</sst>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14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467BED8F-03DD-4B5C-A11C-9752E03B43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25.584539351854" createdVersion="8" refreshedVersion="8" minRefreshableVersion="3" recordCount="123" xr:uid="{EE763B78-75B6-4053-86EF-ADD973E0C4BC}">
  <cacheSource type="worksheet">
    <worksheetSource name="sales"/>
  </cacheSource>
  <cacheFields count="9">
    <cacheField name="Sr. No." numFmtId="0">
      <sharedItems containsSemiMixedTypes="0" containsString="0" containsNumber="1" containsInteger="1" minValue="1" maxValue="123"/>
    </cacheField>
    <cacheField name="Product" numFmtId="0">
      <sharedItems containsBlank="1" count="12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  <m u="1"/>
      </sharedItems>
    </cacheField>
    <cacheField name="Region" numFmtId="0">
      <sharedItems containsBlank="1" count="5">
        <s v="South"/>
        <s v="North"/>
        <s v="West"/>
        <s v="East"/>
        <m u="1"/>
      </sharedItems>
    </cacheField>
    <cacheField name="Names" numFmtId="0">
      <sharedItems containsBlank="1" count="80">
        <s v="Aditi"/>
        <s v="Aishwarya"/>
        <s v="Ananya"/>
        <s v="Diya"/>
        <s v="Kavya"/>
        <s v="Krish"/>
        <s v="Pranav"/>
        <s v="Rupa"/>
        <s v="Kriti"/>
        <s v="Meera"/>
        <s v="Priya"/>
        <s v="Samir"/>
        <s v="Asha"/>
        <s v="Nandini"/>
        <s v="Ramesh"/>
        <s v="Shreya"/>
        <s v="Preeti"/>
        <s v="Nisha"/>
        <s v="Rohan"/>
        <s v="Siddharth"/>
        <s v="Rishi"/>
        <s v="Akanksha"/>
        <s v="Anurag"/>
        <s v="Kamal"/>
        <s v="Harsh"/>
        <s v="Alok"/>
        <s v="Kanika"/>
        <s v="Varsha"/>
        <s v="Naveen"/>
        <s v="Shobha"/>
        <s v="Sunil"/>
        <s v="Meenakshi"/>
        <s v="Rohit"/>
        <s v="Vikas"/>
        <s v="Anjali"/>
        <s v="Divya"/>
        <s v="Raj"/>
        <s v="Kirti"/>
        <s v="Rajesh"/>
        <s v="Avinash"/>
        <s v="Monika"/>
        <s v="Satish"/>
        <s v="Anita"/>
        <s v="Rahul"/>
        <s v="Sunitha"/>
        <s v="Arti"/>
        <s v="Praveen"/>
        <s v="Sneha"/>
        <s v="Rajat"/>
        <s v="Anjana"/>
        <s v="Manju"/>
        <s v="Rohini"/>
        <s v="Rajiv"/>
        <s v="Arpita"/>
        <s v="Vinay"/>
        <s v="Neelam"/>
        <s v="Vikram"/>
        <s v="Komal"/>
        <s v="Sonia"/>
        <s v="Amit"/>
        <s v="Abhishek"/>
        <s v="Anupam"/>
        <s v="Shweta"/>
        <s v="Neha"/>
        <s v="Sonali"/>
        <s v="Kiran"/>
        <s v="Sameer"/>
        <s v="Shikha"/>
        <s v="Ashok"/>
        <s v="Mukesh"/>
        <s v="Arvind"/>
        <s v="Aditya"/>
        <s v="Kamini"/>
        <s v="Manish"/>
        <s v="Sarika"/>
        <s v="Kusum"/>
        <s v="Ankit"/>
        <s v="Vivek"/>
        <s v="Sushil"/>
        <m u="1"/>
      </sharedItems>
    </cacheField>
    <cacheField name="Units" numFmtId="0">
      <sharedItems containsSemiMixedTypes="0" containsString="0" containsNumber="1" containsInteger="1" minValue="7" maxValue="28"/>
    </cacheField>
    <cacheField name="Sales" numFmtId="0">
      <sharedItems containsSemiMixedTypes="0" containsString="0" containsNumber="1" containsInteger="1" minValue="123" maxValue="999"/>
    </cacheField>
    <cacheField name="COGS" numFmtId="0">
      <sharedItems containsSemiMixedTypes="0" containsString="0" containsNumber="1" containsInteger="1" minValue="75" maxValue="610"/>
    </cacheField>
    <cacheField name="COGS per Unit" numFmtId="0">
      <sharedItems containsSemiMixedTypes="0" containsString="0" containsNumber="1" minValue="3.5454545454545454" maxValue="34.416666666666664"/>
    </cacheField>
    <cacheField name="Price per Unit" numFmtId="0">
      <sharedItems containsSemiMixedTypes="0" containsString="0" containsNumber="1" minValue="5.5909090909090908" maxValue="5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1"/>
    <x v="0"/>
    <x v="0"/>
    <x v="0"/>
    <n v="15"/>
    <n v="523"/>
    <n v="321"/>
    <n v="21.4"/>
    <n v="34.866666666666667"/>
  </r>
  <r>
    <n v="2"/>
    <x v="0"/>
    <x v="0"/>
    <x v="1"/>
    <n v="20"/>
    <n v="792"/>
    <n v="456"/>
    <n v="22.8"/>
    <n v="39.6"/>
  </r>
  <r>
    <n v="3"/>
    <x v="0"/>
    <x v="0"/>
    <x v="2"/>
    <n v="18"/>
    <n v="654"/>
    <n v="398"/>
    <n v="22.111111111111111"/>
    <n v="36.333333333333336"/>
  </r>
  <r>
    <n v="4"/>
    <x v="0"/>
    <x v="0"/>
    <x v="3"/>
    <n v="14"/>
    <n v="345"/>
    <n v="210"/>
    <n v="15"/>
    <n v="24.642857142857142"/>
  </r>
  <r>
    <n v="5"/>
    <x v="0"/>
    <x v="0"/>
    <x v="4"/>
    <n v="16"/>
    <n v="678"/>
    <n v="412"/>
    <n v="25.75"/>
    <n v="42.375"/>
  </r>
  <r>
    <n v="6"/>
    <x v="1"/>
    <x v="1"/>
    <x v="5"/>
    <n v="22"/>
    <n v="123"/>
    <n v="78"/>
    <n v="3.5454545454545454"/>
    <n v="5.5909090909090908"/>
  </r>
  <r>
    <n v="7"/>
    <x v="1"/>
    <x v="1"/>
    <x v="6"/>
    <n v="19"/>
    <n v="489"/>
    <n v="286"/>
    <n v="15.052631578947368"/>
    <n v="25.736842105263158"/>
  </r>
  <r>
    <n v="8"/>
    <x v="1"/>
    <x v="1"/>
    <x v="7"/>
    <n v="12"/>
    <n v="354"/>
    <n v="215"/>
    <n v="17.916666666666668"/>
    <n v="29.5"/>
  </r>
  <r>
    <n v="9"/>
    <x v="1"/>
    <x v="1"/>
    <x v="8"/>
    <n v="9"/>
    <n v="195"/>
    <n v="114"/>
    <n v="12.666666666666666"/>
    <n v="21.666666666666668"/>
  </r>
  <r>
    <n v="10"/>
    <x v="2"/>
    <x v="2"/>
    <x v="9"/>
    <n v="11"/>
    <n v="274"/>
    <n v="167"/>
    <n v="15.181818181818182"/>
    <n v="24.90909090909091"/>
  </r>
  <r>
    <n v="11"/>
    <x v="2"/>
    <x v="2"/>
    <x v="10"/>
    <n v="26"/>
    <n v="837"/>
    <n v="512"/>
    <n v="19.692307692307693"/>
    <n v="32.192307692307693"/>
  </r>
  <r>
    <n v="12"/>
    <x v="2"/>
    <x v="2"/>
    <x v="11"/>
    <n v="28"/>
    <n v="911"/>
    <n v="556"/>
    <n v="19.857142857142858"/>
    <n v="32.535714285714285"/>
  </r>
  <r>
    <n v="13"/>
    <x v="2"/>
    <x v="2"/>
    <x v="12"/>
    <n v="21"/>
    <n v="653"/>
    <n v="398"/>
    <n v="18.952380952380953"/>
    <n v="31.095238095238095"/>
  </r>
  <r>
    <n v="14"/>
    <x v="3"/>
    <x v="3"/>
    <x v="13"/>
    <n v="17"/>
    <n v="789"/>
    <n v="458"/>
    <n v="26.941176470588236"/>
    <n v="46.411764705882355"/>
  </r>
  <r>
    <n v="15"/>
    <x v="3"/>
    <x v="3"/>
    <x v="14"/>
    <n v="8"/>
    <n v="125"/>
    <n v="76"/>
    <n v="9.5"/>
    <n v="15.625"/>
  </r>
  <r>
    <n v="16"/>
    <x v="3"/>
    <x v="3"/>
    <x v="15"/>
    <n v="14"/>
    <n v="367"/>
    <n v="224"/>
    <n v="16"/>
    <n v="26.214285714285715"/>
  </r>
  <r>
    <n v="17"/>
    <x v="3"/>
    <x v="3"/>
    <x v="16"/>
    <n v="23"/>
    <n v="524"/>
    <n v="319"/>
    <n v="13.869565217391305"/>
    <n v="22.782608695652176"/>
  </r>
  <r>
    <n v="18"/>
    <x v="4"/>
    <x v="0"/>
    <x v="17"/>
    <n v="13"/>
    <n v="213"/>
    <n v="130"/>
    <n v="10"/>
    <n v="16.384615384615383"/>
  </r>
  <r>
    <n v="19"/>
    <x v="4"/>
    <x v="0"/>
    <x v="18"/>
    <n v="15"/>
    <n v="789"/>
    <n v="458"/>
    <n v="30.533333333333335"/>
    <n v="52.6"/>
  </r>
  <r>
    <n v="20"/>
    <x v="4"/>
    <x v="0"/>
    <x v="19"/>
    <n v="21"/>
    <n v="312"/>
    <n v="190"/>
    <n v="9.0476190476190474"/>
    <n v="14.857142857142858"/>
  </r>
  <r>
    <n v="21"/>
    <x v="4"/>
    <x v="1"/>
    <x v="20"/>
    <n v="19"/>
    <n v="456"/>
    <n v="279"/>
    <n v="14.684210526315789"/>
    <n v="24"/>
  </r>
  <r>
    <n v="22"/>
    <x v="5"/>
    <x v="1"/>
    <x v="21"/>
    <n v="10"/>
    <n v="224"/>
    <n v="137"/>
    <n v="13.7"/>
    <n v="22.4"/>
  </r>
  <r>
    <n v="23"/>
    <x v="5"/>
    <x v="3"/>
    <x v="22"/>
    <n v="11"/>
    <n v="334"/>
    <n v="204"/>
    <n v="18.545454545454547"/>
    <n v="30.363636363636363"/>
  </r>
  <r>
    <n v="24"/>
    <x v="5"/>
    <x v="3"/>
    <x v="23"/>
    <n v="7"/>
    <n v="135"/>
    <n v="83"/>
    <n v="11.857142857142858"/>
    <n v="19.285714285714285"/>
  </r>
  <r>
    <n v="25"/>
    <x v="6"/>
    <x v="2"/>
    <x v="24"/>
    <n v="15"/>
    <n v="689"/>
    <n v="421"/>
    <n v="28.066666666666666"/>
    <n v="45.93333333333333"/>
  </r>
  <r>
    <n v="26"/>
    <x v="6"/>
    <x v="2"/>
    <x v="25"/>
    <n v="25"/>
    <n v="432"/>
    <n v="263"/>
    <n v="10.52"/>
    <n v="17.28"/>
  </r>
  <r>
    <n v="27"/>
    <x v="6"/>
    <x v="2"/>
    <x v="26"/>
    <n v="11"/>
    <n v="287"/>
    <n v="175"/>
    <n v="15.909090909090908"/>
    <n v="26.09090909090909"/>
  </r>
  <r>
    <n v="28"/>
    <x v="7"/>
    <x v="3"/>
    <x v="27"/>
    <n v="8"/>
    <n v="176"/>
    <n v="107"/>
    <n v="13.375"/>
    <n v="22"/>
  </r>
  <r>
    <n v="29"/>
    <x v="7"/>
    <x v="2"/>
    <x v="28"/>
    <n v="13"/>
    <n v="555"/>
    <n v="339"/>
    <n v="26.076923076923077"/>
    <n v="42.692307692307693"/>
  </r>
  <r>
    <n v="30"/>
    <x v="7"/>
    <x v="2"/>
    <x v="29"/>
    <n v="15"/>
    <n v="432"/>
    <n v="263"/>
    <n v="17.533333333333335"/>
    <n v="28.8"/>
  </r>
  <r>
    <n v="31"/>
    <x v="8"/>
    <x v="0"/>
    <x v="30"/>
    <n v="20"/>
    <n v="798"/>
    <n v="487"/>
    <n v="24.35"/>
    <n v="39.9"/>
  </r>
  <r>
    <n v="32"/>
    <x v="8"/>
    <x v="0"/>
    <x v="31"/>
    <n v="15"/>
    <n v="265"/>
    <n v="162"/>
    <n v="10.8"/>
    <n v="17.666666666666668"/>
  </r>
  <r>
    <n v="33"/>
    <x v="8"/>
    <x v="0"/>
    <x v="32"/>
    <n v="28"/>
    <n v="976"/>
    <n v="594"/>
    <n v="21.214285714285715"/>
    <n v="34.857142857142854"/>
  </r>
  <r>
    <n v="34"/>
    <x v="8"/>
    <x v="0"/>
    <x v="33"/>
    <n v="10"/>
    <n v="211"/>
    <n v="129"/>
    <n v="12.9"/>
    <n v="21.1"/>
  </r>
  <r>
    <n v="35"/>
    <x v="9"/>
    <x v="3"/>
    <x v="34"/>
    <n v="12"/>
    <n v="256"/>
    <n v="156"/>
    <n v="13"/>
    <n v="21.333333333333332"/>
  </r>
  <r>
    <n v="36"/>
    <x v="9"/>
    <x v="2"/>
    <x v="35"/>
    <n v="22"/>
    <n v="879"/>
    <n v="535"/>
    <n v="24.318181818181817"/>
    <n v="39.954545454545453"/>
  </r>
  <r>
    <n v="37"/>
    <x v="9"/>
    <x v="3"/>
    <x v="36"/>
    <n v="19"/>
    <n v="765"/>
    <n v="468"/>
    <n v="24.631578947368421"/>
    <n v="40.263157894736842"/>
  </r>
  <r>
    <n v="38"/>
    <x v="9"/>
    <x v="2"/>
    <x v="37"/>
    <n v="17"/>
    <n v="599"/>
    <n v="365"/>
    <n v="21.470588235294116"/>
    <n v="35.235294117647058"/>
  </r>
  <r>
    <n v="39"/>
    <x v="10"/>
    <x v="1"/>
    <x v="38"/>
    <n v="18"/>
    <n v="456"/>
    <n v="279"/>
    <n v="15.5"/>
    <n v="25.333333333333332"/>
  </r>
  <r>
    <n v="40"/>
    <x v="10"/>
    <x v="3"/>
    <x v="39"/>
    <n v="9"/>
    <n v="123"/>
    <n v="75"/>
    <n v="8.3333333333333339"/>
    <n v="13.666666666666666"/>
  </r>
  <r>
    <n v="41"/>
    <x v="10"/>
    <x v="1"/>
    <x v="40"/>
    <n v="12"/>
    <n v="213"/>
    <n v="130"/>
    <n v="10.833333333333334"/>
    <n v="17.75"/>
  </r>
  <r>
    <n v="42"/>
    <x v="10"/>
    <x v="3"/>
    <x v="41"/>
    <n v="12"/>
    <n v="322"/>
    <n v="197"/>
    <n v="16.416666666666668"/>
    <n v="26.833333333333332"/>
  </r>
  <r>
    <n v="43"/>
    <x v="10"/>
    <x v="1"/>
    <x v="38"/>
    <n v="18"/>
    <n v="499"/>
    <n v="305"/>
    <n v="16.944444444444443"/>
    <n v="27.722222222222221"/>
  </r>
  <r>
    <n v="44"/>
    <x v="10"/>
    <x v="3"/>
    <x v="39"/>
    <n v="9"/>
    <n v="192"/>
    <n v="117"/>
    <n v="13"/>
    <n v="21.333333333333332"/>
  </r>
  <r>
    <n v="45"/>
    <x v="10"/>
    <x v="1"/>
    <x v="40"/>
    <n v="12"/>
    <n v="678"/>
    <n v="413"/>
    <n v="34.416666666666664"/>
    <n v="56.5"/>
  </r>
  <r>
    <n v="46"/>
    <x v="10"/>
    <x v="3"/>
    <x v="41"/>
    <n v="12"/>
    <n v="321"/>
    <n v="196"/>
    <n v="16.333333333333332"/>
    <n v="26.75"/>
  </r>
  <r>
    <n v="47"/>
    <x v="1"/>
    <x v="2"/>
    <x v="42"/>
    <n v="15"/>
    <n v="765"/>
    <n v="466"/>
    <n v="31.066666666666666"/>
    <n v="51"/>
  </r>
  <r>
    <n v="48"/>
    <x v="1"/>
    <x v="0"/>
    <x v="43"/>
    <n v="14"/>
    <n v="541"/>
    <n v="331"/>
    <n v="23.642857142857142"/>
    <n v="38.642857142857146"/>
  </r>
  <r>
    <n v="49"/>
    <x v="1"/>
    <x v="3"/>
    <x v="44"/>
    <n v="9"/>
    <n v="187"/>
    <n v="114"/>
    <n v="12.666666666666666"/>
    <n v="20.777777777777779"/>
  </r>
  <r>
    <n v="50"/>
    <x v="1"/>
    <x v="2"/>
    <x v="45"/>
    <n v="15"/>
    <n v="786"/>
    <n v="479"/>
    <n v="31.933333333333334"/>
    <n v="52.4"/>
  </r>
  <r>
    <n v="51"/>
    <x v="2"/>
    <x v="0"/>
    <x v="43"/>
    <n v="14"/>
    <n v="655"/>
    <n v="399"/>
    <n v="28.5"/>
    <n v="46.785714285714285"/>
  </r>
  <r>
    <n v="52"/>
    <x v="2"/>
    <x v="3"/>
    <x v="2"/>
    <n v="20"/>
    <n v="989"/>
    <n v="603"/>
    <n v="30.15"/>
    <n v="49.45"/>
  </r>
  <r>
    <n v="53"/>
    <x v="2"/>
    <x v="2"/>
    <x v="46"/>
    <n v="16"/>
    <n v="722"/>
    <n v="441"/>
    <n v="27.5625"/>
    <n v="45.125"/>
  </r>
  <r>
    <n v="54"/>
    <x v="2"/>
    <x v="1"/>
    <x v="47"/>
    <n v="17"/>
    <n v="864"/>
    <n v="527"/>
    <n v="31"/>
    <n v="50.823529411764703"/>
  </r>
  <r>
    <n v="55"/>
    <x v="3"/>
    <x v="2"/>
    <x v="48"/>
    <n v="20"/>
    <n v="999"/>
    <n v="610"/>
    <n v="30.5"/>
    <n v="49.95"/>
  </r>
  <r>
    <n v="56"/>
    <x v="3"/>
    <x v="3"/>
    <x v="26"/>
    <n v="15"/>
    <n v="762"/>
    <n v="465"/>
    <n v="31"/>
    <n v="50.8"/>
  </r>
  <r>
    <n v="57"/>
    <x v="3"/>
    <x v="0"/>
    <x v="49"/>
    <n v="9"/>
    <n v="127"/>
    <n v="78"/>
    <n v="8.6666666666666661"/>
    <n v="14.111111111111111"/>
  </r>
  <r>
    <n v="58"/>
    <x v="3"/>
    <x v="2"/>
    <x v="31"/>
    <n v="8"/>
    <n v="164"/>
    <n v="100"/>
    <n v="12.5"/>
    <n v="20.5"/>
  </r>
  <r>
    <n v="59"/>
    <x v="4"/>
    <x v="3"/>
    <x v="50"/>
    <n v="14"/>
    <n v="646"/>
    <n v="394"/>
    <n v="28.142857142857142"/>
    <n v="46.142857142857146"/>
  </r>
  <r>
    <n v="60"/>
    <x v="4"/>
    <x v="1"/>
    <x v="51"/>
    <n v="11"/>
    <n v="294"/>
    <n v="179"/>
    <n v="16.272727272727273"/>
    <n v="26.727272727272727"/>
  </r>
  <r>
    <n v="61"/>
    <x v="4"/>
    <x v="2"/>
    <x v="35"/>
    <n v="10"/>
    <n v="223"/>
    <n v="136"/>
    <n v="13.6"/>
    <n v="22.3"/>
  </r>
  <r>
    <n v="62"/>
    <x v="4"/>
    <x v="3"/>
    <x v="34"/>
    <n v="15"/>
    <n v="785"/>
    <n v="480"/>
    <n v="32"/>
    <n v="52.333333333333336"/>
  </r>
  <r>
    <n v="63"/>
    <x v="5"/>
    <x v="1"/>
    <x v="52"/>
    <n v="16"/>
    <n v="777"/>
    <n v="475"/>
    <n v="29.6875"/>
    <n v="48.5625"/>
  </r>
  <r>
    <n v="64"/>
    <x v="5"/>
    <x v="3"/>
    <x v="53"/>
    <n v="9"/>
    <n v="144"/>
    <n v="88"/>
    <n v="9.7777777777777786"/>
    <n v="16"/>
  </r>
  <r>
    <n v="65"/>
    <x v="5"/>
    <x v="0"/>
    <x v="46"/>
    <n v="18"/>
    <n v="699"/>
    <n v="426"/>
    <n v="23.666666666666668"/>
    <n v="38.833333333333336"/>
  </r>
  <r>
    <n v="66"/>
    <x v="5"/>
    <x v="3"/>
    <x v="54"/>
    <n v="14"/>
    <n v="665"/>
    <n v="406"/>
    <n v="29"/>
    <n v="47.5"/>
  </r>
  <r>
    <n v="67"/>
    <x v="6"/>
    <x v="2"/>
    <x v="55"/>
    <n v="10"/>
    <n v="233"/>
    <n v="142"/>
    <n v="14.2"/>
    <n v="23.3"/>
  </r>
  <r>
    <n v="68"/>
    <x v="6"/>
    <x v="1"/>
    <x v="56"/>
    <n v="11"/>
    <n v="356"/>
    <n v="217"/>
    <n v="19.727272727272727"/>
    <n v="32.363636363636367"/>
  </r>
  <r>
    <n v="69"/>
    <x v="6"/>
    <x v="0"/>
    <x v="57"/>
    <n v="16"/>
    <n v="715"/>
    <n v="436"/>
    <n v="27.25"/>
    <n v="44.6875"/>
  </r>
  <r>
    <n v="70"/>
    <x v="6"/>
    <x v="3"/>
    <x v="58"/>
    <n v="18"/>
    <n v="777"/>
    <n v="475"/>
    <n v="26.388888888888889"/>
    <n v="43.166666666666664"/>
  </r>
  <r>
    <n v="71"/>
    <x v="8"/>
    <x v="0"/>
    <x v="59"/>
    <n v="20"/>
    <n v="988"/>
    <n v="602"/>
    <n v="30.1"/>
    <n v="49.4"/>
  </r>
  <r>
    <n v="72"/>
    <x v="8"/>
    <x v="2"/>
    <x v="60"/>
    <n v="16"/>
    <n v="712"/>
    <n v="434"/>
    <n v="27.125"/>
    <n v="44.5"/>
  </r>
  <r>
    <n v="73"/>
    <x v="8"/>
    <x v="3"/>
    <x v="61"/>
    <n v="15"/>
    <n v="798"/>
    <n v="487"/>
    <n v="32.466666666666669"/>
    <n v="53.2"/>
  </r>
  <r>
    <n v="74"/>
    <x v="8"/>
    <x v="1"/>
    <x v="23"/>
    <n v="10"/>
    <n v="199"/>
    <n v="121"/>
    <n v="12.1"/>
    <n v="19.899999999999999"/>
  </r>
  <r>
    <n v="75"/>
    <x v="7"/>
    <x v="2"/>
    <x v="62"/>
    <n v="12"/>
    <n v="478"/>
    <n v="292"/>
    <n v="24.333333333333332"/>
    <n v="39.833333333333336"/>
  </r>
  <r>
    <n v="76"/>
    <x v="7"/>
    <x v="0"/>
    <x v="63"/>
    <n v="9"/>
    <n v="186"/>
    <n v="113"/>
    <n v="12.555555555555555"/>
    <n v="20.666666666666668"/>
  </r>
  <r>
    <n v="77"/>
    <x v="7"/>
    <x v="3"/>
    <x v="64"/>
    <n v="15"/>
    <n v="761"/>
    <n v="464"/>
    <n v="30.933333333333334"/>
    <n v="50.733333333333334"/>
  </r>
  <r>
    <n v="78"/>
    <x v="7"/>
    <x v="1"/>
    <x v="43"/>
    <n v="10"/>
    <n v="288"/>
    <n v="176"/>
    <n v="17.600000000000001"/>
    <n v="28.8"/>
  </r>
  <r>
    <n v="79"/>
    <x v="9"/>
    <x v="3"/>
    <x v="65"/>
    <n v="18"/>
    <n v="699"/>
    <n v="426"/>
    <n v="23.666666666666668"/>
    <n v="38.833333333333336"/>
  </r>
  <r>
    <n v="80"/>
    <x v="9"/>
    <x v="2"/>
    <x v="66"/>
    <n v="16"/>
    <n v="777"/>
    <n v="475"/>
    <n v="29.6875"/>
    <n v="48.5625"/>
  </r>
  <r>
    <n v="81"/>
    <x v="9"/>
    <x v="0"/>
    <x v="14"/>
    <n v="11"/>
    <n v="355"/>
    <n v="217"/>
    <n v="19.727272727272727"/>
    <n v="32.272727272727273"/>
  </r>
  <r>
    <n v="82"/>
    <x v="9"/>
    <x v="3"/>
    <x v="67"/>
    <n v="10"/>
    <n v="233"/>
    <n v="142"/>
    <n v="14.2"/>
    <n v="23.3"/>
  </r>
  <r>
    <n v="83"/>
    <x v="9"/>
    <x v="2"/>
    <x v="68"/>
    <n v="16"/>
    <n v="723"/>
    <n v="441"/>
    <n v="27.5625"/>
    <n v="45.1875"/>
  </r>
  <r>
    <n v="84"/>
    <x v="10"/>
    <x v="3"/>
    <x v="69"/>
    <n v="19"/>
    <n v="467"/>
    <n v="285"/>
    <n v="15"/>
    <n v="24.578947368421051"/>
  </r>
  <r>
    <n v="85"/>
    <x v="1"/>
    <x v="1"/>
    <x v="70"/>
    <n v="11"/>
    <n v="366"/>
    <n v="223"/>
    <n v="20.272727272727273"/>
    <n v="33.272727272727273"/>
  </r>
  <r>
    <n v="86"/>
    <x v="2"/>
    <x v="0"/>
    <x v="63"/>
    <n v="10"/>
    <n v="267"/>
    <n v="163"/>
    <n v="16.3"/>
    <n v="26.7"/>
  </r>
  <r>
    <n v="87"/>
    <x v="3"/>
    <x v="2"/>
    <x v="71"/>
    <n v="15"/>
    <n v="789"/>
    <n v="480"/>
    <n v="32"/>
    <n v="52.6"/>
  </r>
  <r>
    <n v="88"/>
    <x v="8"/>
    <x v="3"/>
    <x v="39"/>
    <n v="14"/>
    <n v="655"/>
    <n v="399"/>
    <n v="28.5"/>
    <n v="46.785714285714285"/>
  </r>
  <r>
    <n v="89"/>
    <x v="5"/>
    <x v="2"/>
    <x v="34"/>
    <n v="10"/>
    <n v="223"/>
    <n v="136"/>
    <n v="13.6"/>
    <n v="22.3"/>
  </r>
  <r>
    <n v="90"/>
    <x v="4"/>
    <x v="1"/>
    <x v="72"/>
    <n v="9"/>
    <n v="192"/>
    <n v="117"/>
    <n v="13"/>
    <n v="21.333333333333332"/>
  </r>
  <r>
    <n v="91"/>
    <x v="6"/>
    <x v="0"/>
    <x v="73"/>
    <n v="12"/>
    <n v="326"/>
    <n v="199"/>
    <n v="16.583333333333332"/>
    <n v="27.166666666666668"/>
  </r>
  <r>
    <n v="92"/>
    <x v="7"/>
    <x v="3"/>
    <x v="47"/>
    <n v="18"/>
    <n v="499"/>
    <n v="305"/>
    <n v="16.944444444444443"/>
    <n v="27.722222222222221"/>
  </r>
  <r>
    <n v="93"/>
    <x v="9"/>
    <x v="2"/>
    <x v="30"/>
    <n v="21"/>
    <n v="633"/>
    <n v="385"/>
    <n v="18.333333333333332"/>
    <n v="30.142857142857142"/>
  </r>
  <r>
    <n v="94"/>
    <x v="10"/>
    <x v="3"/>
    <x v="74"/>
    <n v="13"/>
    <n v="432"/>
    <n v="263"/>
    <n v="20.23076923076923"/>
    <n v="33.230769230769234"/>
  </r>
  <r>
    <n v="95"/>
    <x v="1"/>
    <x v="2"/>
    <x v="75"/>
    <n v="14"/>
    <n v="655"/>
    <n v="399"/>
    <n v="28.5"/>
    <n v="46.785714285714285"/>
  </r>
  <r>
    <n v="96"/>
    <x v="2"/>
    <x v="0"/>
    <x v="76"/>
    <n v="15"/>
    <n v="785"/>
    <n v="480"/>
    <n v="32"/>
    <n v="52.333333333333336"/>
  </r>
  <r>
    <n v="97"/>
    <x v="3"/>
    <x v="3"/>
    <x v="0"/>
    <n v="9"/>
    <n v="147"/>
    <n v="90"/>
    <n v="10"/>
    <n v="16.333333333333332"/>
  </r>
  <r>
    <n v="98"/>
    <x v="8"/>
    <x v="0"/>
    <x v="77"/>
    <n v="17"/>
    <n v="864"/>
    <n v="527"/>
    <n v="31"/>
    <n v="50.823529411764703"/>
  </r>
  <r>
    <n v="99"/>
    <x v="5"/>
    <x v="3"/>
    <x v="48"/>
    <n v="20"/>
    <n v="999"/>
    <n v="610"/>
    <n v="30.5"/>
    <n v="49.95"/>
  </r>
  <r>
    <n v="100"/>
    <x v="4"/>
    <x v="1"/>
    <x v="22"/>
    <n v="16"/>
    <n v="722"/>
    <n v="441"/>
    <n v="27.5625"/>
    <n v="45.125"/>
  </r>
  <r>
    <n v="101"/>
    <x v="6"/>
    <x v="0"/>
    <x v="31"/>
    <n v="8"/>
    <n v="125"/>
    <n v="76"/>
    <n v="9.5"/>
    <n v="15.625"/>
  </r>
  <r>
    <n v="102"/>
    <x v="7"/>
    <x v="3"/>
    <x v="43"/>
    <n v="16"/>
    <n v="777"/>
    <n v="475"/>
    <n v="29.6875"/>
    <n v="48.5625"/>
  </r>
  <r>
    <n v="103"/>
    <x v="9"/>
    <x v="2"/>
    <x v="37"/>
    <n v="12"/>
    <n v="342"/>
    <n v="209"/>
    <n v="17.416666666666668"/>
    <n v="28.5"/>
  </r>
  <r>
    <n v="104"/>
    <x v="10"/>
    <x v="1"/>
    <x v="38"/>
    <n v="13"/>
    <n v="453"/>
    <n v="276"/>
    <n v="21.23076923076923"/>
    <n v="34.846153846153847"/>
  </r>
  <r>
    <n v="105"/>
    <x v="1"/>
    <x v="2"/>
    <x v="25"/>
    <n v="10"/>
    <n v="238"/>
    <n v="145"/>
    <n v="14.5"/>
    <n v="23.8"/>
  </r>
  <r>
    <n v="106"/>
    <x v="2"/>
    <x v="0"/>
    <x v="44"/>
    <n v="19"/>
    <n v="468"/>
    <n v="286"/>
    <n v="15.052631578947368"/>
    <n v="24.631578947368421"/>
  </r>
  <r>
    <n v="107"/>
    <x v="3"/>
    <x v="3"/>
    <x v="51"/>
    <n v="11"/>
    <n v="356"/>
    <n v="217"/>
    <n v="19.727272727272727"/>
    <n v="32.363636363636367"/>
  </r>
  <r>
    <n v="108"/>
    <x v="8"/>
    <x v="0"/>
    <x v="26"/>
    <n v="17"/>
    <n v="799"/>
    <n v="488"/>
    <n v="28.705882352941178"/>
    <n v="47"/>
  </r>
  <r>
    <n v="109"/>
    <x v="5"/>
    <x v="3"/>
    <x v="50"/>
    <n v="15"/>
    <n v="789"/>
    <n v="480"/>
    <n v="32"/>
    <n v="52.6"/>
  </r>
  <r>
    <n v="110"/>
    <x v="4"/>
    <x v="0"/>
    <x v="32"/>
    <n v="8"/>
    <n v="156"/>
    <n v="95"/>
    <n v="11.875"/>
    <n v="19.5"/>
  </r>
  <r>
    <n v="111"/>
    <x v="6"/>
    <x v="2"/>
    <x v="46"/>
    <n v="14"/>
    <n v="655"/>
    <n v="399"/>
    <n v="28.5"/>
    <n v="46.785714285714285"/>
  </r>
  <r>
    <n v="112"/>
    <x v="7"/>
    <x v="2"/>
    <x v="35"/>
    <n v="10"/>
    <n v="239"/>
    <n v="146"/>
    <n v="14.6"/>
    <n v="23.9"/>
  </r>
  <r>
    <n v="113"/>
    <x v="9"/>
    <x v="3"/>
    <x v="45"/>
    <n v="16"/>
    <n v="745"/>
    <n v="454"/>
    <n v="28.375"/>
    <n v="46.5625"/>
  </r>
  <r>
    <n v="114"/>
    <x v="10"/>
    <x v="1"/>
    <x v="43"/>
    <n v="19"/>
    <n v="489"/>
    <n v="298"/>
    <n v="15.684210526315789"/>
    <n v="25.736842105263158"/>
  </r>
  <r>
    <n v="115"/>
    <x v="1"/>
    <x v="2"/>
    <x v="43"/>
    <n v="9"/>
    <n v="194"/>
    <n v="118"/>
    <n v="13.111111111111111"/>
    <n v="21.555555555555557"/>
  </r>
  <r>
    <n v="116"/>
    <x v="2"/>
    <x v="0"/>
    <x v="78"/>
    <n v="15"/>
    <n v="786"/>
    <n v="479"/>
    <n v="31.933333333333334"/>
    <n v="52.4"/>
  </r>
  <r>
    <n v="117"/>
    <x v="3"/>
    <x v="3"/>
    <x v="33"/>
    <n v="10"/>
    <n v="219"/>
    <n v="133"/>
    <n v="13.3"/>
    <n v="21.9"/>
  </r>
  <r>
    <n v="118"/>
    <x v="8"/>
    <x v="0"/>
    <x v="59"/>
    <n v="17"/>
    <n v="765"/>
    <n v="466"/>
    <n v="27.411764705882351"/>
    <n v="45"/>
  </r>
  <r>
    <n v="119"/>
    <x v="5"/>
    <x v="3"/>
    <x v="57"/>
    <n v="12"/>
    <n v="333"/>
    <n v="203"/>
    <n v="16.916666666666668"/>
    <n v="27.75"/>
  </r>
  <r>
    <n v="120"/>
    <x v="4"/>
    <x v="0"/>
    <x v="58"/>
    <n v="15"/>
    <n v="789"/>
    <n v="480"/>
    <n v="32"/>
    <n v="52.6"/>
  </r>
  <r>
    <n v="121"/>
    <x v="6"/>
    <x v="2"/>
    <x v="55"/>
    <n v="9"/>
    <n v="127"/>
    <n v="77"/>
    <n v="8.5555555555555554"/>
    <n v="14.111111111111111"/>
  </r>
  <r>
    <n v="122"/>
    <x v="7"/>
    <x v="3"/>
    <x v="54"/>
    <n v="14"/>
    <n v="655"/>
    <n v="399"/>
    <n v="28.5"/>
    <n v="46.785714285714285"/>
  </r>
  <r>
    <n v="123"/>
    <x v="9"/>
    <x v="3"/>
    <x v="46"/>
    <n v="10"/>
    <n v="225"/>
    <n v="137"/>
    <n v="13.7"/>
    <n v="2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D00C4-88F2-4315-B4CE-06B3FA37B5AB}" name="PivotTable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3:C103" firstHeaderRow="1" firstDataRow="1" firstDataCol="1"/>
  <pivotFields count="9">
    <pivotField showAll="0"/>
    <pivotField showAll="0"/>
    <pivotField showAll="0"/>
    <pivotField axis="axisRow" showAll="0" sortType="descending">
      <items count="81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m="1"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3"/>
  </rowFields>
  <rowItems count="80">
    <i>
      <x v="48"/>
    </i>
    <i>
      <x v="45"/>
    </i>
    <i>
      <x v="50"/>
    </i>
    <i>
      <x v="25"/>
    </i>
    <i>
      <x v="6"/>
    </i>
    <i>
      <x v="7"/>
    </i>
    <i>
      <x v="70"/>
    </i>
    <i>
      <x v="15"/>
    </i>
    <i>
      <x v="34"/>
    </i>
    <i>
      <x v="71"/>
    </i>
    <i>
      <x v="51"/>
    </i>
    <i>
      <x v="68"/>
    </i>
    <i>
      <x v="20"/>
    </i>
    <i>
      <x v="77"/>
    </i>
    <i>
      <x v="9"/>
    </i>
    <i>
      <x v="57"/>
    </i>
    <i>
      <x v="13"/>
    </i>
    <i>
      <x v="29"/>
    </i>
    <i>
      <x v="19"/>
    </i>
    <i>
      <x v="28"/>
    </i>
    <i>
      <x v="60"/>
    </i>
    <i>
      <x v="37"/>
    </i>
    <i>
      <x v="78"/>
    </i>
    <i>
      <x v="47"/>
    </i>
    <i>
      <x v="12"/>
    </i>
    <i>
      <x v="2"/>
    </i>
    <i>
      <x v="11"/>
    </i>
    <i>
      <x v="73"/>
    </i>
    <i>
      <x v="59"/>
    </i>
    <i>
      <x v="52"/>
    </i>
    <i>
      <x v="49"/>
    </i>
    <i>
      <x v="8"/>
    </i>
    <i>
      <x v="69"/>
    </i>
    <i>
      <x v="55"/>
    </i>
    <i>
      <x v="39"/>
    </i>
    <i>
      <x v="3"/>
    </i>
    <i>
      <x v="18"/>
    </i>
    <i>
      <x/>
    </i>
    <i>
      <x v="27"/>
    </i>
    <i>
      <x v="22"/>
    </i>
    <i>
      <x v="26"/>
    </i>
    <i>
      <x v="1"/>
    </i>
    <i>
      <x v="5"/>
    </i>
    <i>
      <x v="72"/>
    </i>
    <i>
      <x v="32"/>
    </i>
    <i>
      <x v="17"/>
    </i>
    <i>
      <x v="56"/>
    </i>
    <i>
      <x v="62"/>
    </i>
    <i>
      <x v="40"/>
    </i>
    <i>
      <x v="35"/>
    </i>
    <i>
      <x v="46"/>
    </i>
    <i>
      <x v="53"/>
    </i>
    <i>
      <x v="66"/>
    </i>
    <i>
      <x v="44"/>
    </i>
    <i>
      <x v="38"/>
    </i>
    <i>
      <x v="54"/>
    </i>
    <i>
      <x v="42"/>
    </i>
    <i>
      <x v="64"/>
    </i>
    <i>
      <x v="61"/>
    </i>
    <i>
      <x v="75"/>
    </i>
    <i>
      <x v="65"/>
    </i>
    <i>
      <x v="16"/>
    </i>
    <i>
      <x v="41"/>
    </i>
    <i>
      <x v="76"/>
    </i>
    <i>
      <x v="58"/>
    </i>
    <i>
      <x v="21"/>
    </i>
    <i>
      <x v="23"/>
    </i>
    <i>
      <x v="33"/>
    </i>
    <i>
      <x v="67"/>
    </i>
    <i>
      <x v="36"/>
    </i>
    <i>
      <x v="63"/>
    </i>
    <i>
      <x v="4"/>
    </i>
    <i>
      <x v="43"/>
    </i>
    <i>
      <x v="24"/>
    </i>
    <i>
      <x v="31"/>
    </i>
    <i>
      <x v="74"/>
    </i>
    <i>
      <x v="14"/>
    </i>
    <i>
      <x v="30"/>
    </i>
    <i>
      <x v="10"/>
    </i>
    <i t="grand">
      <x/>
    </i>
  </rowItems>
  <colItems count="1">
    <i/>
  </colItems>
  <dataFields count="1">
    <dataField name="Sum of COG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E3D8D-0D8D-4CC4-A717-8CDF6C4E6581}" name="PivotTable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B16" firstHeaderRow="1" firstDataRow="1" firstDataCol="0" rowPageCount="1" colPageCount="1"/>
  <pivotFields count="9">
    <pivotField showAll="0"/>
    <pivotField axis="axisPage" showAll="0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pageFields count="1">
    <pageField fld="1" item="0" hier="-1"/>
  </pageFields>
  <dataFields count="1">
    <dataField name="Average of Sale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40478-6FA8-471C-84BA-EF700FAF5521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10" firstHeaderRow="1" firstDataRow="1" firstDataCol="1"/>
  <pivotFields count="9">
    <pivotField showAll="0"/>
    <pivotField showAll="0"/>
    <pivotField axis="axisRow" showAll="0">
      <items count="6">
        <item x="3"/>
        <item x="1"/>
        <item x="0"/>
        <item x="2"/>
        <item m="1" x="4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EC6A7-40F1-4AD0-82C6-570D6327BAAE}" name="PivotTable1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3:U35" firstHeaderRow="1" firstDataRow="1" firstDataCol="1"/>
  <pivotFields count="9">
    <pivotField showAll="0"/>
    <pivotField axis="axisRow" showAll="0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COGS per Unit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BF589-DB82-45D4-A130-A3BC9F869306}" name="PivotTable8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3:P103" firstHeaderRow="1" firstDataRow="1" firstDataCol="1"/>
  <pivotFields count="9">
    <pivotField showAll="0"/>
    <pivotField showAll="0"/>
    <pivotField showAll="0"/>
    <pivotField axis="axisRow" showAll="0" sortType="descending">
      <items count="81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m="1"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3"/>
  </rowFields>
  <rowItems count="80">
    <i>
      <x v="48"/>
    </i>
    <i>
      <x v="45"/>
    </i>
    <i>
      <x v="50"/>
    </i>
    <i>
      <x v="25"/>
    </i>
    <i>
      <x v="6"/>
    </i>
    <i>
      <x v="7"/>
    </i>
    <i>
      <x v="70"/>
    </i>
    <i>
      <x v="15"/>
    </i>
    <i>
      <x v="34"/>
    </i>
    <i>
      <x v="71"/>
    </i>
    <i>
      <x v="51"/>
    </i>
    <i>
      <x v="68"/>
    </i>
    <i>
      <x v="20"/>
    </i>
    <i>
      <x v="77"/>
    </i>
    <i>
      <x v="9"/>
    </i>
    <i>
      <x v="57"/>
    </i>
    <i>
      <x v="13"/>
    </i>
    <i>
      <x v="29"/>
    </i>
    <i>
      <x v="19"/>
    </i>
    <i>
      <x v="28"/>
    </i>
    <i>
      <x v="60"/>
    </i>
    <i>
      <x v="37"/>
    </i>
    <i>
      <x v="78"/>
    </i>
    <i>
      <x v="47"/>
    </i>
    <i>
      <x v="12"/>
    </i>
    <i>
      <x v="3"/>
    </i>
    <i>
      <x v="2"/>
    </i>
    <i>
      <x v="55"/>
    </i>
    <i>
      <x v="39"/>
    </i>
    <i>
      <x v="73"/>
    </i>
    <i>
      <x v="11"/>
    </i>
    <i>
      <x v="59"/>
    </i>
    <i>
      <x v="52"/>
    </i>
    <i>
      <x v="49"/>
    </i>
    <i>
      <x v="8"/>
    </i>
    <i>
      <x v="69"/>
    </i>
    <i>
      <x v="18"/>
    </i>
    <i>
      <x/>
    </i>
    <i>
      <x v="27"/>
    </i>
    <i>
      <x v="22"/>
    </i>
    <i>
      <x v="26"/>
    </i>
    <i>
      <x v="1"/>
    </i>
    <i>
      <x v="5"/>
    </i>
    <i>
      <x v="72"/>
    </i>
    <i>
      <x v="32"/>
    </i>
    <i>
      <x v="17"/>
    </i>
    <i>
      <x v="56"/>
    </i>
    <i>
      <x v="62"/>
    </i>
    <i>
      <x v="40"/>
    </i>
    <i>
      <x v="35"/>
    </i>
    <i>
      <x v="46"/>
    </i>
    <i>
      <x v="44"/>
    </i>
    <i>
      <x v="53"/>
    </i>
    <i>
      <x v="66"/>
    </i>
    <i>
      <x v="38"/>
    </i>
    <i>
      <x v="54"/>
    </i>
    <i>
      <x v="42"/>
    </i>
    <i>
      <x v="64"/>
    </i>
    <i>
      <x v="61"/>
    </i>
    <i>
      <x v="75"/>
    </i>
    <i>
      <x v="65"/>
    </i>
    <i>
      <x v="16"/>
    </i>
    <i>
      <x v="41"/>
    </i>
    <i>
      <x v="76"/>
    </i>
    <i>
      <x v="58"/>
    </i>
    <i>
      <x v="21"/>
    </i>
    <i>
      <x v="23"/>
    </i>
    <i>
      <x v="33"/>
    </i>
    <i>
      <x v="67"/>
    </i>
    <i>
      <x v="36"/>
    </i>
    <i>
      <x v="63"/>
    </i>
    <i>
      <x v="4"/>
    </i>
    <i>
      <x v="43"/>
    </i>
    <i>
      <x v="31"/>
    </i>
    <i>
      <x v="24"/>
    </i>
    <i>
      <x v="74"/>
    </i>
    <i>
      <x v="14"/>
    </i>
    <i>
      <x v="10"/>
    </i>
    <i>
      <x v="3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CD01F-E922-4C3C-B13C-544152AC4F13}" name="PivotTable7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1:AA17" firstHeaderRow="1" firstDataRow="2" firstDataCol="1"/>
  <pivotFields count="9">
    <pivotField showAll="0"/>
    <pivotField axis="axisCol" showAll="0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</pivotField>
    <pivotField axis="axisRow" showAll="0">
      <items count="6">
        <item x="3"/>
        <item x="1"/>
        <item x="0"/>
        <item x="2"/>
        <item m="1"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A3DC9-E33F-4957-A8E4-BA7C23C1CC20}" name="PivotTable6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1:J23" firstHeaderRow="1" firstDataRow="1" firstDataCol="1"/>
  <pivotFields count="9">
    <pivotField showAll="0"/>
    <pivotField axis="axisRow" showAll="0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Units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3B087-BCDB-46D4-B740-88883F1F2C75}" name="PivotTable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C27" firstHeaderRow="1" firstDataRow="1" firstDataCol="1"/>
  <pivotFields count="9">
    <pivotField showAll="0"/>
    <pivotField axis="axisRow" dataField="1" showAll="0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DD621-1CB1-4431-AFDC-A8B5CEB0BCC5}" name="PivotTable4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9" firstHeaderRow="1" firstDataRow="1" firstDataCol="1"/>
  <pivotFields count="9">
    <pivotField showAll="0"/>
    <pivotField axis="axisRow" showAll="0">
      <items count="13">
        <item h="1" x="6"/>
        <item h="1" x="8"/>
        <item h="1" x="3"/>
        <item x="1"/>
        <item h="1" x="2"/>
        <item h="1" x="10"/>
        <item h="1" x="5"/>
        <item h="1" x="4"/>
        <item h="1" x="0"/>
        <item h="1" x="9"/>
        <item h="1" x="7"/>
        <item h="1" m="1"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2"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8C9D8-6935-4579-AC8A-C3E6EBD435D2}" name="PivotTable2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1:G74" firstHeaderRow="1" firstDataRow="2" firstDataCol="1"/>
  <pivotFields count="9">
    <pivotField showAll="0"/>
    <pivotField axis="axisRow" showAll="0" sortType="descending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6">
        <item x="3"/>
        <item x="1"/>
        <item x="0"/>
        <item x="2"/>
        <item m="1"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 v="4"/>
    </i>
    <i>
      <x v="1"/>
    </i>
    <i>
      <x v="9"/>
    </i>
    <i>
      <x v="7"/>
    </i>
    <i>
      <x v="2"/>
    </i>
    <i>
      <x v="6"/>
    </i>
    <i>
      <x v="10"/>
    </i>
    <i>
      <x v="3"/>
    </i>
    <i>
      <x/>
    </i>
    <i>
      <x v="5"/>
    </i>
    <i>
      <x v="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ADC70-974E-4641-A1ED-1C5642D24196}" name="PivotTable2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3:G55" firstHeaderRow="1" firstDataRow="1" firstDataCol="1"/>
  <pivotFields count="9">
    <pivotField showAll="0"/>
    <pivotField axis="axisRow" showAll="0" sortType="ascending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 v="5"/>
    </i>
    <i>
      <x/>
    </i>
    <i>
      <x v="2"/>
    </i>
    <i>
      <x v="3"/>
    </i>
    <i>
      <x v="7"/>
    </i>
    <i>
      <x v="6"/>
    </i>
    <i>
      <x v="10"/>
    </i>
    <i>
      <x v="9"/>
    </i>
    <i>
      <x v="8"/>
    </i>
    <i>
      <x v="4"/>
    </i>
    <i>
      <x v="1"/>
    </i>
    <i t="grand">
      <x/>
    </i>
  </rowItems>
  <colItems count="1">
    <i/>
  </colItems>
  <dataFields count="1">
    <dataField name="Average of Price per Unit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5B2C7-0108-4A88-A24D-030995492FA5}" name="PivotTable20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3:C55" firstHeaderRow="1" firstDataRow="1" firstDataCol="1"/>
  <pivotFields count="9">
    <pivotField showAll="0"/>
    <pivotField axis="axisRow" showAll="0" sortType="descending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 v="1"/>
    </i>
    <i>
      <x v="4"/>
    </i>
    <i>
      <x v="8"/>
    </i>
    <i>
      <x v="9"/>
    </i>
    <i>
      <x v="10"/>
    </i>
    <i>
      <x v="6"/>
    </i>
    <i>
      <x v="7"/>
    </i>
    <i>
      <x v="3"/>
    </i>
    <i>
      <x v="2"/>
    </i>
    <i>
      <x/>
    </i>
    <i>
      <x v="5"/>
    </i>
    <i t="grand">
      <x/>
    </i>
  </rowItems>
  <colItems count="1">
    <i/>
  </colItems>
  <dataFields count="1">
    <dataField name="Average of Price per Unit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B24B3-0935-47A8-A503-F84C4D82503E}" name="PivotTable18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4:G36" firstHeaderRow="1" firstDataRow="1" firstDataCol="1"/>
  <pivotFields count="9">
    <pivotField showAll="0"/>
    <pivotField axis="axisRow" showAll="0" sortType="descending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2">
    <i>
      <x v="4"/>
    </i>
    <i>
      <x v="9"/>
    </i>
    <i>
      <x v="1"/>
    </i>
    <i>
      <x v="7"/>
    </i>
    <i>
      <x v="5"/>
    </i>
    <i>
      <x v="2"/>
    </i>
    <i>
      <x v="3"/>
    </i>
    <i>
      <x/>
    </i>
    <i>
      <x v="6"/>
    </i>
    <i>
      <x v="10"/>
    </i>
    <i>
      <x v="8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9449E-B96B-4A95-BD81-4283320F3255}" name="PivotTable17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4:C29" firstHeaderRow="1" firstDataRow="1" firstDataCol="1"/>
  <pivotFields count="9">
    <pivotField showAll="0"/>
    <pivotField showAll="0"/>
    <pivotField axis="axisRow" showAll="0" sortType="descending">
      <items count="6">
        <item x="3"/>
        <item x="1"/>
        <item x="0"/>
        <item x="2"/>
        <item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407DB-183E-4EBA-9C2C-BDDA940745D8}" name="PivotTable16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:S84" firstHeaderRow="1" firstDataRow="1" firstDataCol="1"/>
  <pivotFields count="9">
    <pivotField showAll="0"/>
    <pivotField showAll="0"/>
    <pivotField showAll="0"/>
    <pivotField axis="axisRow" showAll="0" sortType="descending">
      <items count="81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m="1"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3"/>
  </rowFields>
  <rowItems count="80">
    <i>
      <x v="48"/>
    </i>
    <i>
      <x v="45"/>
    </i>
    <i>
      <x v="51"/>
    </i>
    <i>
      <x v="25"/>
    </i>
    <i>
      <x v="20"/>
    </i>
    <i>
      <x v="71"/>
    </i>
    <i>
      <x v="50"/>
    </i>
    <i>
      <x v="7"/>
    </i>
    <i>
      <x v="6"/>
    </i>
    <i>
      <x v="9"/>
    </i>
    <i>
      <x v="57"/>
    </i>
    <i>
      <x v="5"/>
    </i>
    <i>
      <x v="68"/>
    </i>
    <i>
      <x v="70"/>
    </i>
    <i>
      <x v="19"/>
    </i>
    <i>
      <x v="15"/>
    </i>
    <i>
      <x v="35"/>
    </i>
    <i>
      <x v="28"/>
    </i>
    <i>
      <x v="34"/>
    </i>
    <i>
      <x v="60"/>
    </i>
    <i>
      <x v="72"/>
    </i>
    <i>
      <x v="77"/>
    </i>
    <i>
      <x v="29"/>
    </i>
    <i>
      <x v="13"/>
    </i>
    <i>
      <x v="47"/>
    </i>
    <i>
      <x v="62"/>
    </i>
    <i>
      <x v="37"/>
    </i>
    <i>
      <x v="1"/>
    </i>
    <i>
      <x v="46"/>
    </i>
    <i>
      <x v="56"/>
    </i>
    <i>
      <x v="30"/>
    </i>
    <i>
      <x v="67"/>
    </i>
    <i>
      <x v="17"/>
    </i>
    <i>
      <x v="3"/>
    </i>
    <i>
      <x v="75"/>
    </i>
    <i>
      <x v="54"/>
    </i>
    <i>
      <x v="53"/>
    </i>
    <i>
      <x v="44"/>
    </i>
    <i>
      <x v="49"/>
    </i>
    <i>
      <x v="38"/>
    </i>
    <i>
      <x v="42"/>
    </i>
    <i>
      <x v="41"/>
    </i>
    <i>
      <x v="27"/>
    </i>
    <i>
      <x v="23"/>
    </i>
    <i>
      <x v="78"/>
    </i>
    <i>
      <x v="39"/>
    </i>
    <i>
      <x v="59"/>
    </i>
    <i>
      <x v="18"/>
    </i>
    <i>
      <x/>
    </i>
    <i>
      <x v="52"/>
    </i>
    <i>
      <x v="26"/>
    </i>
    <i>
      <x v="73"/>
    </i>
    <i>
      <x v="22"/>
    </i>
    <i>
      <x v="69"/>
    </i>
    <i>
      <x v="2"/>
    </i>
    <i>
      <x v="12"/>
    </i>
    <i>
      <x v="64"/>
    </i>
    <i>
      <x v="55"/>
    </i>
    <i>
      <x v="8"/>
    </i>
    <i>
      <x v="11"/>
    </i>
    <i>
      <x v="32"/>
    </i>
    <i>
      <x v="65"/>
    </i>
    <i>
      <x v="21"/>
    </i>
    <i>
      <x v="43"/>
    </i>
    <i>
      <x v="40"/>
    </i>
    <i>
      <x v="61"/>
    </i>
    <i>
      <x v="58"/>
    </i>
    <i>
      <x v="66"/>
    </i>
    <i>
      <x v="33"/>
    </i>
    <i>
      <x v="76"/>
    </i>
    <i>
      <x v="36"/>
    </i>
    <i>
      <x v="16"/>
    </i>
    <i>
      <x v="4"/>
    </i>
    <i>
      <x v="63"/>
    </i>
    <i>
      <x v="24"/>
    </i>
    <i>
      <x v="31"/>
    </i>
    <i>
      <x v="10"/>
    </i>
    <i>
      <x v="14"/>
    </i>
    <i>
      <x v="7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090AC-0874-49E3-97EC-DFCE00DC03B3}" name="PivotTable1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N84" firstHeaderRow="1" firstDataRow="1" firstDataCol="1"/>
  <pivotFields count="9">
    <pivotField showAll="0"/>
    <pivotField showAll="0"/>
    <pivotField showAll="0"/>
    <pivotField axis="axisRow" showAll="0">
      <items count="81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m="1" x="79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04C18-B039-4404-8588-B5FAA4E3B393}" name="PivotTable14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9" firstHeaderRow="1" firstDataRow="1" firstDataCol="1"/>
  <pivotFields count="9">
    <pivotField showAll="0"/>
    <pivotField showAll="0"/>
    <pivotField axis="axisRow" showAll="0">
      <items count="6">
        <item x="3"/>
        <item x="1"/>
        <item x="0"/>
        <item x="2"/>
        <item m="1"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B495D-D0CC-48E5-BAB4-33359A61CAAE}" name="PivotTable1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6" firstHeaderRow="1" firstDataRow="1" firstDataCol="1"/>
  <pivotFields count="9">
    <pivotField showAll="0"/>
    <pivotField axis="axisRow" showAll="0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A4FA9-551F-4B15-B2F1-B9F44295273D}" name="PivotTable2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8:F45" firstHeaderRow="1" firstDataRow="1" firstDataCol="1" rowPageCount="1" colPageCount="1"/>
  <pivotFields count="9">
    <pivotField showAll="0"/>
    <pivotField showAll="0"/>
    <pivotField axis="axisPage" showAll="0">
      <items count="6">
        <item x="3"/>
        <item x="1"/>
        <item x="0"/>
        <item x="2"/>
        <item m="1" x="4"/>
        <item t="default"/>
      </items>
    </pivotField>
    <pivotField axis="axisRow" showAll="0" sortType="descending">
      <items count="81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m="1"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3"/>
  </rowFields>
  <rowItems count="27">
    <i>
      <x v="6"/>
    </i>
    <i>
      <x v="48"/>
    </i>
    <i>
      <x v="57"/>
    </i>
    <i>
      <x v="78"/>
    </i>
    <i>
      <x v="25"/>
    </i>
    <i>
      <x v="71"/>
    </i>
    <i>
      <x v="3"/>
    </i>
    <i>
      <x v="70"/>
    </i>
    <i>
      <x v="55"/>
    </i>
    <i>
      <x v="73"/>
    </i>
    <i>
      <x v="11"/>
    </i>
    <i>
      <x v="29"/>
    </i>
    <i>
      <x v="45"/>
    </i>
    <i>
      <x v="26"/>
    </i>
    <i>
      <x v="7"/>
    </i>
    <i>
      <x v="1"/>
    </i>
    <i>
      <x v="72"/>
    </i>
    <i>
      <x v="42"/>
    </i>
    <i>
      <x v="35"/>
    </i>
    <i>
      <x v="53"/>
    </i>
    <i>
      <x v="21"/>
    </i>
    <i>
      <x v="33"/>
    </i>
    <i>
      <x v="67"/>
    </i>
    <i>
      <x v="43"/>
    </i>
    <i>
      <x v="75"/>
    </i>
    <i>
      <x v="10"/>
    </i>
    <i t="grand">
      <x/>
    </i>
  </rowItems>
  <colItems count="1">
    <i/>
  </colItems>
  <pageFields count="1">
    <pageField fld="2" item="2" hier="-1"/>
  </pageField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D0588-2E01-4623-9599-2921A3D791F6}" name="PivotTable24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Q11" firstHeaderRow="1" firstDataRow="2" firstDataCol="1"/>
  <pivotFields count="9">
    <pivotField showAll="0"/>
    <pivotField axis="axisCol" showAll="0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</pivotField>
    <pivotField axis="axisRow" showAll="0">
      <items count="6">
        <item x="3"/>
        <item x="1"/>
        <item x="0"/>
        <item x="2"/>
        <item m="1"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8AA08-E124-4FD3-9780-5B8F2A92B1FC}" name="PivotTable2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17" firstHeaderRow="1" firstDataRow="1" firstDataCol="1"/>
  <pivotFields count="9">
    <pivotField showAll="0"/>
    <pivotField axis="axisRow" showAll="0">
      <items count="13">
        <item x="6"/>
        <item x="8"/>
        <item x="3"/>
        <item x="1"/>
        <item x="2"/>
        <item x="10"/>
        <item x="5"/>
        <item x="4"/>
        <item x="0"/>
        <item x="9"/>
        <item x="7"/>
        <item m="1"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Sale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A184F-D0B4-4103-9D6E-8C5E1403FFBA}" name="sales" displayName="sales" ref="A1:I124" totalsRowShown="0" headerRowDxfId="13" dataDxfId="11" headerRowBorderDxfId="12" tableBorderDxfId="10" totalsRowBorderDxfId="9">
  <autoFilter ref="A1:I124" xr:uid="{D10A184F-D0B4-4103-9D6E-8C5E1403FFBA}"/>
  <tableColumns count="9">
    <tableColumn id="1" xr3:uid="{1C9B19D6-5D1D-41EB-8805-05F39DF204B8}" name="Sr. No." dataDxfId="8"/>
    <tableColumn id="2" xr3:uid="{92DBD297-9546-42E8-A368-5F0493E59116}" name="Product" dataDxfId="7"/>
    <tableColumn id="3" xr3:uid="{D6AA8D17-DE1E-461D-A506-882B495C0A4D}" name="Region" dataDxfId="6"/>
    <tableColumn id="4" xr3:uid="{4CA9E758-74F2-440E-9C44-070EA9A39B9A}" name="Names" dataDxfId="5"/>
    <tableColumn id="5" xr3:uid="{914E7C4C-743F-4712-9F5D-7AA9B75D4E99}" name="Units" dataDxfId="4"/>
    <tableColumn id="6" xr3:uid="{AFD4235E-CBCC-4B6B-8E33-EDCB7C560D4F}" name="Sales" dataDxfId="3"/>
    <tableColumn id="7" xr3:uid="{A32B3D21-4FC7-437B-8D35-8BD7D8E9BE66}" name="COGS" dataDxfId="2"/>
    <tableColumn id="9" xr3:uid="{D55C50B7-F672-429E-8265-5A1614ECB8AE}" name="COGS per Unit" dataDxfId="1">
      <calculatedColumnFormula>G2/E2</calculatedColumnFormula>
    </tableColumn>
    <tableColumn id="10" xr3:uid="{E8F37FA5-6D05-4260-8CA0-E3D0B0F8535F}" name="Price per Unit" dataDxfId="0">
      <calculatedColumnFormula>F2/E2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D069-1D5F-4FC9-B457-185F2D0E0A8B}">
  <dimension ref="A1:I125"/>
  <sheetViews>
    <sheetView tabSelected="1" topLeftCell="A101" workbookViewId="0">
      <selection activeCell="M116" sqref="M116"/>
    </sheetView>
  </sheetViews>
  <sheetFormatPr defaultRowHeight="14.4" x14ac:dyDescent="0.3"/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131</v>
      </c>
      <c r="I1" s="19" t="s">
        <v>140</v>
      </c>
    </row>
    <row r="2" spans="1:9" x14ac:dyDescent="0.3">
      <c r="A2" s="4">
        <v>1</v>
      </c>
      <c r="B2" s="5" t="s">
        <v>7</v>
      </c>
      <c r="C2" s="5" t="s">
        <v>8</v>
      </c>
      <c r="D2" s="5" t="s">
        <v>9</v>
      </c>
      <c r="E2" s="5">
        <v>15</v>
      </c>
      <c r="F2" s="5">
        <v>523</v>
      </c>
      <c r="G2" s="6">
        <v>321</v>
      </c>
      <c r="H2" s="18">
        <f t="shared" ref="H2:H65" si="0">G2/E2</f>
        <v>21.4</v>
      </c>
      <c r="I2" s="18">
        <f t="shared" ref="I2:I33" si="1">F2/E2</f>
        <v>34.866666666666667</v>
      </c>
    </row>
    <row r="3" spans="1:9" x14ac:dyDescent="0.3">
      <c r="A3" s="4">
        <v>2</v>
      </c>
      <c r="B3" s="5" t="s">
        <v>7</v>
      </c>
      <c r="C3" s="5" t="s">
        <v>8</v>
      </c>
      <c r="D3" s="5" t="s">
        <v>10</v>
      </c>
      <c r="E3" s="5">
        <v>20</v>
      </c>
      <c r="F3" s="5">
        <v>792</v>
      </c>
      <c r="G3" s="6">
        <v>456</v>
      </c>
      <c r="H3" s="18">
        <f t="shared" si="0"/>
        <v>22.8</v>
      </c>
      <c r="I3" s="5">
        <f t="shared" si="1"/>
        <v>39.6</v>
      </c>
    </row>
    <row r="4" spans="1:9" x14ac:dyDescent="0.3">
      <c r="A4" s="4">
        <v>3</v>
      </c>
      <c r="B4" s="5" t="s">
        <v>7</v>
      </c>
      <c r="C4" s="5" t="s">
        <v>8</v>
      </c>
      <c r="D4" s="5" t="s">
        <v>11</v>
      </c>
      <c r="E4" s="5">
        <v>18</v>
      </c>
      <c r="F4" s="5">
        <v>654</v>
      </c>
      <c r="G4" s="6">
        <v>398</v>
      </c>
      <c r="H4" s="18">
        <f t="shared" si="0"/>
        <v>22.111111111111111</v>
      </c>
      <c r="I4" s="5">
        <f t="shared" si="1"/>
        <v>36.333333333333336</v>
      </c>
    </row>
    <row r="5" spans="1:9" x14ac:dyDescent="0.3">
      <c r="A5" s="4">
        <v>4</v>
      </c>
      <c r="B5" s="5" t="s">
        <v>7</v>
      </c>
      <c r="C5" s="5" t="s">
        <v>8</v>
      </c>
      <c r="D5" s="5" t="s">
        <v>12</v>
      </c>
      <c r="E5" s="5">
        <v>14</v>
      </c>
      <c r="F5" s="5">
        <v>345</v>
      </c>
      <c r="G5" s="6">
        <v>210</v>
      </c>
      <c r="H5" s="18">
        <f t="shared" si="0"/>
        <v>15</v>
      </c>
      <c r="I5" s="5">
        <f t="shared" si="1"/>
        <v>24.642857142857142</v>
      </c>
    </row>
    <row r="6" spans="1:9" x14ac:dyDescent="0.3">
      <c r="A6" s="4">
        <v>5</v>
      </c>
      <c r="B6" s="5" t="s">
        <v>7</v>
      </c>
      <c r="C6" s="5" t="s">
        <v>8</v>
      </c>
      <c r="D6" s="5" t="s">
        <v>13</v>
      </c>
      <c r="E6" s="5">
        <v>16</v>
      </c>
      <c r="F6" s="5">
        <v>678</v>
      </c>
      <c r="G6" s="6">
        <v>412</v>
      </c>
      <c r="H6" s="18">
        <f t="shared" si="0"/>
        <v>25.75</v>
      </c>
      <c r="I6" s="5">
        <f t="shared" si="1"/>
        <v>42.375</v>
      </c>
    </row>
    <row r="7" spans="1:9" x14ac:dyDescent="0.3">
      <c r="A7" s="4">
        <v>6</v>
      </c>
      <c r="B7" s="5" t="s">
        <v>14</v>
      </c>
      <c r="C7" s="5" t="s">
        <v>15</v>
      </c>
      <c r="D7" s="5" t="s">
        <v>16</v>
      </c>
      <c r="E7" s="5">
        <v>22</v>
      </c>
      <c r="F7" s="5">
        <v>123</v>
      </c>
      <c r="G7" s="6">
        <v>78</v>
      </c>
      <c r="H7" s="18">
        <f t="shared" si="0"/>
        <v>3.5454545454545454</v>
      </c>
      <c r="I7" s="5">
        <f t="shared" si="1"/>
        <v>5.5909090909090908</v>
      </c>
    </row>
    <row r="8" spans="1:9" x14ac:dyDescent="0.3">
      <c r="A8" s="4">
        <v>7</v>
      </c>
      <c r="B8" s="5" t="s">
        <v>14</v>
      </c>
      <c r="C8" s="5" t="s">
        <v>15</v>
      </c>
      <c r="D8" s="5" t="s">
        <v>17</v>
      </c>
      <c r="E8" s="5">
        <v>19</v>
      </c>
      <c r="F8" s="5">
        <v>489</v>
      </c>
      <c r="G8" s="6">
        <v>286</v>
      </c>
      <c r="H8" s="18">
        <f t="shared" si="0"/>
        <v>15.052631578947368</v>
      </c>
      <c r="I8" s="5">
        <f t="shared" si="1"/>
        <v>25.736842105263158</v>
      </c>
    </row>
    <row r="9" spans="1:9" x14ac:dyDescent="0.3">
      <c r="A9" s="4">
        <v>8</v>
      </c>
      <c r="B9" s="5" t="s">
        <v>14</v>
      </c>
      <c r="C9" s="5" t="s">
        <v>15</v>
      </c>
      <c r="D9" s="5" t="s">
        <v>18</v>
      </c>
      <c r="E9" s="5">
        <v>12</v>
      </c>
      <c r="F9" s="5">
        <v>354</v>
      </c>
      <c r="G9" s="6">
        <v>215</v>
      </c>
      <c r="H9" s="18">
        <f t="shared" si="0"/>
        <v>17.916666666666668</v>
      </c>
      <c r="I9" s="5">
        <f t="shared" si="1"/>
        <v>29.5</v>
      </c>
    </row>
    <row r="10" spans="1:9" x14ac:dyDescent="0.3">
      <c r="A10" s="4">
        <v>9</v>
      </c>
      <c r="B10" s="5" t="s">
        <v>14</v>
      </c>
      <c r="C10" s="5" t="s">
        <v>15</v>
      </c>
      <c r="D10" s="5" t="s">
        <v>19</v>
      </c>
      <c r="E10" s="5">
        <v>9</v>
      </c>
      <c r="F10" s="5">
        <v>195</v>
      </c>
      <c r="G10" s="6">
        <v>114</v>
      </c>
      <c r="H10" s="18">
        <f t="shared" si="0"/>
        <v>12.666666666666666</v>
      </c>
      <c r="I10" s="5">
        <f t="shared" si="1"/>
        <v>21.666666666666668</v>
      </c>
    </row>
    <row r="11" spans="1:9" x14ac:dyDescent="0.3">
      <c r="A11" s="4">
        <v>10</v>
      </c>
      <c r="B11" s="5" t="s">
        <v>20</v>
      </c>
      <c r="C11" s="5" t="s">
        <v>21</v>
      </c>
      <c r="D11" s="5" t="s">
        <v>22</v>
      </c>
      <c r="E11" s="5">
        <v>11</v>
      </c>
      <c r="F11" s="5">
        <v>274</v>
      </c>
      <c r="G11" s="6">
        <v>167</v>
      </c>
      <c r="H11" s="18">
        <f t="shared" si="0"/>
        <v>15.181818181818182</v>
      </c>
      <c r="I11" s="5">
        <f t="shared" si="1"/>
        <v>24.90909090909091</v>
      </c>
    </row>
    <row r="12" spans="1:9" x14ac:dyDescent="0.3">
      <c r="A12" s="4">
        <v>11</v>
      </c>
      <c r="B12" s="5" t="s">
        <v>20</v>
      </c>
      <c r="C12" s="5" t="s">
        <v>21</v>
      </c>
      <c r="D12" s="5" t="s">
        <v>23</v>
      </c>
      <c r="E12" s="5">
        <v>26</v>
      </c>
      <c r="F12" s="5">
        <v>837</v>
      </c>
      <c r="G12" s="6">
        <v>512</v>
      </c>
      <c r="H12" s="18">
        <f t="shared" si="0"/>
        <v>19.692307692307693</v>
      </c>
      <c r="I12" s="5">
        <f t="shared" si="1"/>
        <v>32.192307692307693</v>
      </c>
    </row>
    <row r="13" spans="1:9" x14ac:dyDescent="0.3">
      <c r="A13" s="4">
        <v>12</v>
      </c>
      <c r="B13" s="5" t="s">
        <v>20</v>
      </c>
      <c r="C13" s="5" t="s">
        <v>21</v>
      </c>
      <c r="D13" s="5" t="s">
        <v>24</v>
      </c>
      <c r="E13" s="5">
        <v>28</v>
      </c>
      <c r="F13" s="5">
        <v>911</v>
      </c>
      <c r="G13" s="6">
        <v>556</v>
      </c>
      <c r="H13" s="18">
        <f t="shared" si="0"/>
        <v>19.857142857142858</v>
      </c>
      <c r="I13" s="5">
        <f t="shared" si="1"/>
        <v>32.535714285714285</v>
      </c>
    </row>
    <row r="14" spans="1:9" x14ac:dyDescent="0.3">
      <c r="A14" s="4">
        <v>13</v>
      </c>
      <c r="B14" s="5" t="s">
        <v>20</v>
      </c>
      <c r="C14" s="5" t="s">
        <v>21</v>
      </c>
      <c r="D14" s="5" t="s">
        <v>25</v>
      </c>
      <c r="E14" s="5">
        <v>21</v>
      </c>
      <c r="F14" s="5">
        <v>653</v>
      </c>
      <c r="G14" s="6">
        <v>398</v>
      </c>
      <c r="H14" s="18">
        <f t="shared" si="0"/>
        <v>18.952380952380953</v>
      </c>
      <c r="I14" s="5">
        <f t="shared" si="1"/>
        <v>31.095238095238095</v>
      </c>
    </row>
    <row r="15" spans="1:9" x14ac:dyDescent="0.3">
      <c r="A15" s="4">
        <v>14</v>
      </c>
      <c r="B15" s="5" t="s">
        <v>26</v>
      </c>
      <c r="C15" s="5" t="s">
        <v>27</v>
      </c>
      <c r="D15" s="5" t="s">
        <v>28</v>
      </c>
      <c r="E15" s="5">
        <v>17</v>
      </c>
      <c r="F15" s="5">
        <v>789</v>
      </c>
      <c r="G15" s="6">
        <v>458</v>
      </c>
      <c r="H15" s="18">
        <f t="shared" si="0"/>
        <v>26.941176470588236</v>
      </c>
      <c r="I15" s="5">
        <f t="shared" si="1"/>
        <v>46.411764705882355</v>
      </c>
    </row>
    <row r="16" spans="1:9" x14ac:dyDescent="0.3">
      <c r="A16" s="4">
        <v>15</v>
      </c>
      <c r="B16" s="5" t="s">
        <v>26</v>
      </c>
      <c r="C16" s="5" t="s">
        <v>27</v>
      </c>
      <c r="D16" s="5" t="s">
        <v>29</v>
      </c>
      <c r="E16" s="5">
        <v>8</v>
      </c>
      <c r="F16" s="5">
        <v>125</v>
      </c>
      <c r="G16" s="6">
        <v>76</v>
      </c>
      <c r="H16" s="18">
        <f t="shared" si="0"/>
        <v>9.5</v>
      </c>
      <c r="I16" s="5">
        <f t="shared" si="1"/>
        <v>15.625</v>
      </c>
    </row>
    <row r="17" spans="1:9" x14ac:dyDescent="0.3">
      <c r="A17" s="4">
        <v>16</v>
      </c>
      <c r="B17" s="5" t="s">
        <v>26</v>
      </c>
      <c r="C17" s="5" t="s">
        <v>27</v>
      </c>
      <c r="D17" s="5" t="s">
        <v>30</v>
      </c>
      <c r="E17" s="5">
        <v>14</v>
      </c>
      <c r="F17" s="5">
        <v>367</v>
      </c>
      <c r="G17" s="6">
        <v>224</v>
      </c>
      <c r="H17" s="18">
        <f t="shared" si="0"/>
        <v>16</v>
      </c>
      <c r="I17" s="5">
        <f t="shared" si="1"/>
        <v>26.214285714285715</v>
      </c>
    </row>
    <row r="18" spans="1:9" x14ac:dyDescent="0.3">
      <c r="A18" s="4">
        <v>17</v>
      </c>
      <c r="B18" s="5" t="s">
        <v>26</v>
      </c>
      <c r="C18" s="5" t="s">
        <v>27</v>
      </c>
      <c r="D18" s="5" t="s">
        <v>31</v>
      </c>
      <c r="E18" s="5">
        <v>23</v>
      </c>
      <c r="F18" s="5">
        <v>524</v>
      </c>
      <c r="G18" s="6">
        <v>319</v>
      </c>
      <c r="H18" s="18">
        <f t="shared" si="0"/>
        <v>13.869565217391305</v>
      </c>
      <c r="I18" s="5">
        <f t="shared" si="1"/>
        <v>22.782608695652176</v>
      </c>
    </row>
    <row r="19" spans="1:9" x14ac:dyDescent="0.3">
      <c r="A19" s="4">
        <v>18</v>
      </c>
      <c r="B19" s="5" t="s">
        <v>32</v>
      </c>
      <c r="C19" s="5" t="s">
        <v>8</v>
      </c>
      <c r="D19" s="5" t="s">
        <v>33</v>
      </c>
      <c r="E19" s="5">
        <v>13</v>
      </c>
      <c r="F19" s="5">
        <v>213</v>
      </c>
      <c r="G19" s="6">
        <v>130</v>
      </c>
      <c r="H19" s="18">
        <f t="shared" si="0"/>
        <v>10</v>
      </c>
      <c r="I19" s="5">
        <f t="shared" si="1"/>
        <v>16.384615384615383</v>
      </c>
    </row>
    <row r="20" spans="1:9" x14ac:dyDescent="0.3">
      <c r="A20" s="4">
        <v>19</v>
      </c>
      <c r="B20" s="5" t="s">
        <v>32</v>
      </c>
      <c r="C20" s="5" t="s">
        <v>8</v>
      </c>
      <c r="D20" s="5" t="s">
        <v>34</v>
      </c>
      <c r="E20" s="5">
        <v>15</v>
      </c>
      <c r="F20" s="5">
        <v>789</v>
      </c>
      <c r="G20" s="6">
        <v>458</v>
      </c>
      <c r="H20" s="18">
        <f t="shared" si="0"/>
        <v>30.533333333333335</v>
      </c>
      <c r="I20" s="5">
        <f t="shared" si="1"/>
        <v>52.6</v>
      </c>
    </row>
    <row r="21" spans="1:9" x14ac:dyDescent="0.3">
      <c r="A21" s="4">
        <v>20</v>
      </c>
      <c r="B21" s="5" t="s">
        <v>32</v>
      </c>
      <c r="C21" s="5" t="s">
        <v>8</v>
      </c>
      <c r="D21" s="5" t="s">
        <v>35</v>
      </c>
      <c r="E21" s="5">
        <v>21</v>
      </c>
      <c r="F21" s="5">
        <v>312</v>
      </c>
      <c r="G21" s="6">
        <v>190</v>
      </c>
      <c r="H21" s="18">
        <f t="shared" si="0"/>
        <v>9.0476190476190474</v>
      </c>
      <c r="I21" s="5">
        <f t="shared" si="1"/>
        <v>14.857142857142858</v>
      </c>
    </row>
    <row r="22" spans="1:9" x14ac:dyDescent="0.3">
      <c r="A22" s="4">
        <v>21</v>
      </c>
      <c r="B22" s="5" t="s">
        <v>32</v>
      </c>
      <c r="C22" s="5" t="s">
        <v>15</v>
      </c>
      <c r="D22" s="5" t="s">
        <v>36</v>
      </c>
      <c r="E22" s="5">
        <v>19</v>
      </c>
      <c r="F22" s="5">
        <v>456</v>
      </c>
      <c r="G22" s="6">
        <v>279</v>
      </c>
      <c r="H22" s="18">
        <f t="shared" si="0"/>
        <v>14.684210526315789</v>
      </c>
      <c r="I22" s="5">
        <f t="shared" si="1"/>
        <v>24</v>
      </c>
    </row>
    <row r="23" spans="1:9" x14ac:dyDescent="0.3">
      <c r="A23" s="4">
        <v>22</v>
      </c>
      <c r="B23" s="5" t="s">
        <v>37</v>
      </c>
      <c r="C23" s="5" t="s">
        <v>15</v>
      </c>
      <c r="D23" s="5" t="s">
        <v>38</v>
      </c>
      <c r="E23" s="5">
        <v>10</v>
      </c>
      <c r="F23" s="5">
        <v>224</v>
      </c>
      <c r="G23" s="6">
        <v>137</v>
      </c>
      <c r="H23" s="18">
        <f t="shared" si="0"/>
        <v>13.7</v>
      </c>
      <c r="I23" s="5">
        <f t="shared" si="1"/>
        <v>22.4</v>
      </c>
    </row>
    <row r="24" spans="1:9" x14ac:dyDescent="0.3">
      <c r="A24" s="4">
        <v>23</v>
      </c>
      <c r="B24" s="5" t="s">
        <v>37</v>
      </c>
      <c r="C24" s="5" t="s">
        <v>27</v>
      </c>
      <c r="D24" s="5" t="s">
        <v>39</v>
      </c>
      <c r="E24" s="5">
        <v>11</v>
      </c>
      <c r="F24" s="5">
        <v>334</v>
      </c>
      <c r="G24" s="6">
        <v>204</v>
      </c>
      <c r="H24" s="18">
        <f t="shared" si="0"/>
        <v>18.545454545454547</v>
      </c>
      <c r="I24" s="5">
        <f t="shared" si="1"/>
        <v>30.363636363636363</v>
      </c>
    </row>
    <row r="25" spans="1:9" x14ac:dyDescent="0.3">
      <c r="A25" s="4">
        <v>24</v>
      </c>
      <c r="B25" s="5" t="s">
        <v>37</v>
      </c>
      <c r="C25" s="5" t="s">
        <v>27</v>
      </c>
      <c r="D25" s="5" t="s">
        <v>40</v>
      </c>
      <c r="E25" s="5">
        <v>7</v>
      </c>
      <c r="F25" s="5">
        <v>135</v>
      </c>
      <c r="G25" s="6">
        <v>83</v>
      </c>
      <c r="H25" s="18">
        <f t="shared" si="0"/>
        <v>11.857142857142858</v>
      </c>
      <c r="I25" s="5">
        <f t="shared" si="1"/>
        <v>19.285714285714285</v>
      </c>
    </row>
    <row r="26" spans="1:9" x14ac:dyDescent="0.3">
      <c r="A26" s="4">
        <v>25</v>
      </c>
      <c r="B26" s="5" t="s">
        <v>41</v>
      </c>
      <c r="C26" s="5" t="s">
        <v>21</v>
      </c>
      <c r="D26" s="5" t="s">
        <v>42</v>
      </c>
      <c r="E26" s="5">
        <v>15</v>
      </c>
      <c r="F26" s="5">
        <v>689</v>
      </c>
      <c r="G26" s="6">
        <v>421</v>
      </c>
      <c r="H26" s="18">
        <f t="shared" si="0"/>
        <v>28.066666666666666</v>
      </c>
      <c r="I26" s="5">
        <f t="shared" si="1"/>
        <v>45.93333333333333</v>
      </c>
    </row>
    <row r="27" spans="1:9" x14ac:dyDescent="0.3">
      <c r="A27" s="4">
        <v>26</v>
      </c>
      <c r="B27" s="5" t="s">
        <v>41</v>
      </c>
      <c r="C27" s="5" t="s">
        <v>21</v>
      </c>
      <c r="D27" s="5" t="s">
        <v>43</v>
      </c>
      <c r="E27" s="5">
        <v>25</v>
      </c>
      <c r="F27" s="5">
        <v>432</v>
      </c>
      <c r="G27" s="6">
        <v>263</v>
      </c>
      <c r="H27" s="18">
        <f t="shared" si="0"/>
        <v>10.52</v>
      </c>
      <c r="I27" s="5">
        <f t="shared" si="1"/>
        <v>17.28</v>
      </c>
    </row>
    <row r="28" spans="1:9" x14ac:dyDescent="0.3">
      <c r="A28" s="4">
        <v>27</v>
      </c>
      <c r="B28" s="5" t="s">
        <v>41</v>
      </c>
      <c r="C28" s="5" t="s">
        <v>21</v>
      </c>
      <c r="D28" s="5" t="s">
        <v>44</v>
      </c>
      <c r="E28" s="5">
        <v>11</v>
      </c>
      <c r="F28" s="5">
        <v>287</v>
      </c>
      <c r="G28" s="6">
        <v>175</v>
      </c>
      <c r="H28" s="18">
        <f t="shared" si="0"/>
        <v>15.909090909090908</v>
      </c>
      <c r="I28" s="5">
        <f t="shared" si="1"/>
        <v>26.09090909090909</v>
      </c>
    </row>
    <row r="29" spans="1:9" x14ac:dyDescent="0.3">
      <c r="A29" s="4">
        <v>28</v>
      </c>
      <c r="B29" s="5" t="s">
        <v>45</v>
      </c>
      <c r="C29" s="5" t="s">
        <v>27</v>
      </c>
      <c r="D29" s="5" t="s">
        <v>46</v>
      </c>
      <c r="E29" s="5">
        <v>8</v>
      </c>
      <c r="F29" s="5">
        <v>176</v>
      </c>
      <c r="G29" s="6">
        <v>107</v>
      </c>
      <c r="H29" s="18">
        <f t="shared" si="0"/>
        <v>13.375</v>
      </c>
      <c r="I29" s="5">
        <f t="shared" si="1"/>
        <v>22</v>
      </c>
    </row>
    <row r="30" spans="1:9" x14ac:dyDescent="0.3">
      <c r="A30" s="4">
        <v>29</v>
      </c>
      <c r="B30" s="5" t="s">
        <v>45</v>
      </c>
      <c r="C30" s="5" t="s">
        <v>21</v>
      </c>
      <c r="D30" s="5" t="s">
        <v>47</v>
      </c>
      <c r="E30" s="5">
        <v>13</v>
      </c>
      <c r="F30" s="5">
        <v>555</v>
      </c>
      <c r="G30" s="6">
        <v>339</v>
      </c>
      <c r="H30" s="18">
        <f t="shared" si="0"/>
        <v>26.076923076923077</v>
      </c>
      <c r="I30" s="5">
        <f t="shared" si="1"/>
        <v>42.692307692307693</v>
      </c>
    </row>
    <row r="31" spans="1:9" x14ac:dyDescent="0.3">
      <c r="A31" s="4">
        <v>30</v>
      </c>
      <c r="B31" s="5" t="s">
        <v>45</v>
      </c>
      <c r="C31" s="5" t="s">
        <v>21</v>
      </c>
      <c r="D31" s="5" t="s">
        <v>48</v>
      </c>
      <c r="E31" s="5">
        <v>15</v>
      </c>
      <c r="F31" s="5">
        <v>432</v>
      </c>
      <c r="G31" s="6">
        <v>263</v>
      </c>
      <c r="H31" s="18">
        <f t="shared" si="0"/>
        <v>17.533333333333335</v>
      </c>
      <c r="I31" s="5">
        <f t="shared" si="1"/>
        <v>28.8</v>
      </c>
    </row>
    <row r="32" spans="1:9" x14ac:dyDescent="0.3">
      <c r="A32" s="4">
        <v>31</v>
      </c>
      <c r="B32" s="5" t="s">
        <v>49</v>
      </c>
      <c r="C32" s="5" t="s">
        <v>8</v>
      </c>
      <c r="D32" s="5" t="s">
        <v>50</v>
      </c>
      <c r="E32" s="5">
        <v>20</v>
      </c>
      <c r="F32" s="5">
        <v>798</v>
      </c>
      <c r="G32" s="6">
        <v>487</v>
      </c>
      <c r="H32" s="18">
        <f t="shared" si="0"/>
        <v>24.35</v>
      </c>
      <c r="I32" s="5">
        <f t="shared" si="1"/>
        <v>39.9</v>
      </c>
    </row>
    <row r="33" spans="1:9" x14ac:dyDescent="0.3">
      <c r="A33" s="4">
        <v>32</v>
      </c>
      <c r="B33" s="5" t="s">
        <v>49</v>
      </c>
      <c r="C33" s="5" t="s">
        <v>8</v>
      </c>
      <c r="D33" s="5" t="s">
        <v>51</v>
      </c>
      <c r="E33" s="5">
        <v>15</v>
      </c>
      <c r="F33" s="5">
        <v>265</v>
      </c>
      <c r="G33" s="6">
        <v>162</v>
      </c>
      <c r="H33" s="18">
        <f t="shared" si="0"/>
        <v>10.8</v>
      </c>
      <c r="I33" s="5">
        <f t="shared" si="1"/>
        <v>17.666666666666668</v>
      </c>
    </row>
    <row r="34" spans="1:9" x14ac:dyDescent="0.3">
      <c r="A34" s="4">
        <v>33</v>
      </c>
      <c r="B34" s="5" t="s">
        <v>49</v>
      </c>
      <c r="C34" s="5" t="s">
        <v>8</v>
      </c>
      <c r="D34" s="5" t="s">
        <v>52</v>
      </c>
      <c r="E34" s="5">
        <v>28</v>
      </c>
      <c r="F34" s="5">
        <v>976</v>
      </c>
      <c r="G34" s="6">
        <v>594</v>
      </c>
      <c r="H34" s="18">
        <f t="shared" si="0"/>
        <v>21.214285714285715</v>
      </c>
      <c r="I34" s="5">
        <f t="shared" ref="I34:I65" si="2">F34/E34</f>
        <v>34.857142857142854</v>
      </c>
    </row>
    <row r="35" spans="1:9" x14ac:dyDescent="0.3">
      <c r="A35" s="4">
        <v>34</v>
      </c>
      <c r="B35" s="5" t="s">
        <v>49</v>
      </c>
      <c r="C35" s="5" t="s">
        <v>8</v>
      </c>
      <c r="D35" s="5" t="s">
        <v>53</v>
      </c>
      <c r="E35" s="5">
        <v>10</v>
      </c>
      <c r="F35" s="5">
        <v>211</v>
      </c>
      <c r="G35" s="6">
        <v>129</v>
      </c>
      <c r="H35" s="18">
        <f t="shared" si="0"/>
        <v>12.9</v>
      </c>
      <c r="I35" s="5">
        <f t="shared" si="2"/>
        <v>21.1</v>
      </c>
    </row>
    <row r="36" spans="1:9" x14ac:dyDescent="0.3">
      <c r="A36" s="4">
        <v>35</v>
      </c>
      <c r="B36" s="5" t="s">
        <v>54</v>
      </c>
      <c r="C36" s="5" t="s">
        <v>27</v>
      </c>
      <c r="D36" s="5" t="s">
        <v>55</v>
      </c>
      <c r="E36" s="5">
        <v>12</v>
      </c>
      <c r="F36" s="5">
        <v>256</v>
      </c>
      <c r="G36" s="6">
        <v>156</v>
      </c>
      <c r="H36" s="18">
        <f t="shared" si="0"/>
        <v>13</v>
      </c>
      <c r="I36" s="5">
        <f t="shared" si="2"/>
        <v>21.333333333333332</v>
      </c>
    </row>
    <row r="37" spans="1:9" x14ac:dyDescent="0.3">
      <c r="A37" s="4">
        <v>36</v>
      </c>
      <c r="B37" s="5" t="s">
        <v>54</v>
      </c>
      <c r="C37" s="5" t="s">
        <v>21</v>
      </c>
      <c r="D37" s="5" t="s">
        <v>56</v>
      </c>
      <c r="E37" s="5">
        <v>22</v>
      </c>
      <c r="F37" s="5">
        <v>879</v>
      </c>
      <c r="G37" s="6">
        <v>535</v>
      </c>
      <c r="H37" s="18">
        <f t="shared" si="0"/>
        <v>24.318181818181817</v>
      </c>
      <c r="I37" s="5">
        <f t="shared" si="2"/>
        <v>39.954545454545453</v>
      </c>
    </row>
    <row r="38" spans="1:9" x14ac:dyDescent="0.3">
      <c r="A38" s="4">
        <v>37</v>
      </c>
      <c r="B38" s="5" t="s">
        <v>54</v>
      </c>
      <c r="C38" s="5" t="s">
        <v>27</v>
      </c>
      <c r="D38" s="5" t="s">
        <v>57</v>
      </c>
      <c r="E38" s="5">
        <v>19</v>
      </c>
      <c r="F38" s="5">
        <v>765</v>
      </c>
      <c r="G38" s="6">
        <v>468</v>
      </c>
      <c r="H38" s="18">
        <f t="shared" si="0"/>
        <v>24.631578947368421</v>
      </c>
      <c r="I38" s="5">
        <f t="shared" si="2"/>
        <v>40.263157894736842</v>
      </c>
    </row>
    <row r="39" spans="1:9" x14ac:dyDescent="0.3">
      <c r="A39" s="4">
        <v>38</v>
      </c>
      <c r="B39" s="5" t="s">
        <v>54</v>
      </c>
      <c r="C39" s="5" t="s">
        <v>21</v>
      </c>
      <c r="D39" s="5" t="s">
        <v>58</v>
      </c>
      <c r="E39" s="5">
        <v>17</v>
      </c>
      <c r="F39" s="5">
        <v>599</v>
      </c>
      <c r="G39" s="6">
        <v>365</v>
      </c>
      <c r="H39" s="18">
        <f t="shared" si="0"/>
        <v>21.470588235294116</v>
      </c>
      <c r="I39" s="5">
        <f t="shared" si="2"/>
        <v>35.235294117647058</v>
      </c>
    </row>
    <row r="40" spans="1:9" x14ac:dyDescent="0.3">
      <c r="A40" s="4">
        <v>39</v>
      </c>
      <c r="B40" s="5" t="s">
        <v>59</v>
      </c>
      <c r="C40" s="5" t="s">
        <v>15</v>
      </c>
      <c r="D40" s="5" t="s">
        <v>60</v>
      </c>
      <c r="E40" s="5">
        <v>18</v>
      </c>
      <c r="F40" s="5">
        <v>456</v>
      </c>
      <c r="G40" s="6">
        <v>279</v>
      </c>
      <c r="H40" s="18">
        <f t="shared" si="0"/>
        <v>15.5</v>
      </c>
      <c r="I40" s="5">
        <f t="shared" si="2"/>
        <v>25.333333333333332</v>
      </c>
    </row>
    <row r="41" spans="1:9" x14ac:dyDescent="0.3">
      <c r="A41" s="4">
        <v>40</v>
      </c>
      <c r="B41" s="5" t="s">
        <v>59</v>
      </c>
      <c r="C41" s="5" t="s">
        <v>27</v>
      </c>
      <c r="D41" s="5" t="s">
        <v>61</v>
      </c>
      <c r="E41" s="5">
        <v>9</v>
      </c>
      <c r="F41" s="5">
        <v>123</v>
      </c>
      <c r="G41" s="6">
        <v>75</v>
      </c>
      <c r="H41" s="18">
        <f t="shared" si="0"/>
        <v>8.3333333333333339</v>
      </c>
      <c r="I41" s="5">
        <f t="shared" si="2"/>
        <v>13.666666666666666</v>
      </c>
    </row>
    <row r="42" spans="1:9" x14ac:dyDescent="0.3">
      <c r="A42" s="4">
        <v>41</v>
      </c>
      <c r="B42" s="5" t="s">
        <v>59</v>
      </c>
      <c r="C42" s="5" t="s">
        <v>15</v>
      </c>
      <c r="D42" s="5" t="s">
        <v>62</v>
      </c>
      <c r="E42" s="5">
        <v>12</v>
      </c>
      <c r="F42" s="5">
        <v>213</v>
      </c>
      <c r="G42" s="6">
        <v>130</v>
      </c>
      <c r="H42" s="18">
        <f t="shared" si="0"/>
        <v>10.833333333333334</v>
      </c>
      <c r="I42" s="5">
        <f t="shared" si="2"/>
        <v>17.75</v>
      </c>
    </row>
    <row r="43" spans="1:9" x14ac:dyDescent="0.3">
      <c r="A43" s="4">
        <v>42</v>
      </c>
      <c r="B43" s="5" t="s">
        <v>59</v>
      </c>
      <c r="C43" s="5" t="s">
        <v>27</v>
      </c>
      <c r="D43" s="5" t="s">
        <v>63</v>
      </c>
      <c r="E43" s="5">
        <v>12</v>
      </c>
      <c r="F43" s="5">
        <v>322</v>
      </c>
      <c r="G43" s="6">
        <v>197</v>
      </c>
      <c r="H43" s="18">
        <f t="shared" si="0"/>
        <v>16.416666666666668</v>
      </c>
      <c r="I43" s="5">
        <f t="shared" si="2"/>
        <v>26.833333333333332</v>
      </c>
    </row>
    <row r="44" spans="1:9" x14ac:dyDescent="0.3">
      <c r="A44" s="4">
        <v>43</v>
      </c>
      <c r="B44" s="5" t="s">
        <v>59</v>
      </c>
      <c r="C44" s="5" t="s">
        <v>15</v>
      </c>
      <c r="D44" s="5" t="s">
        <v>60</v>
      </c>
      <c r="E44" s="5">
        <v>18</v>
      </c>
      <c r="F44" s="5">
        <v>499</v>
      </c>
      <c r="G44" s="6">
        <v>305</v>
      </c>
      <c r="H44" s="18">
        <f t="shared" si="0"/>
        <v>16.944444444444443</v>
      </c>
      <c r="I44" s="5">
        <f t="shared" si="2"/>
        <v>27.722222222222221</v>
      </c>
    </row>
    <row r="45" spans="1:9" x14ac:dyDescent="0.3">
      <c r="A45" s="4">
        <v>44</v>
      </c>
      <c r="B45" s="5" t="s">
        <v>59</v>
      </c>
      <c r="C45" s="5" t="s">
        <v>27</v>
      </c>
      <c r="D45" s="5" t="s">
        <v>61</v>
      </c>
      <c r="E45" s="5">
        <v>9</v>
      </c>
      <c r="F45" s="5">
        <v>192</v>
      </c>
      <c r="G45" s="6">
        <v>117</v>
      </c>
      <c r="H45" s="18">
        <f t="shared" si="0"/>
        <v>13</v>
      </c>
      <c r="I45" s="5">
        <f t="shared" si="2"/>
        <v>21.333333333333332</v>
      </c>
    </row>
    <row r="46" spans="1:9" x14ac:dyDescent="0.3">
      <c r="A46" s="4">
        <v>45</v>
      </c>
      <c r="B46" s="5" t="s">
        <v>59</v>
      </c>
      <c r="C46" s="5" t="s">
        <v>15</v>
      </c>
      <c r="D46" s="5" t="s">
        <v>62</v>
      </c>
      <c r="E46" s="5">
        <v>12</v>
      </c>
      <c r="F46" s="5">
        <v>678</v>
      </c>
      <c r="G46" s="6">
        <v>413</v>
      </c>
      <c r="H46" s="18">
        <f t="shared" si="0"/>
        <v>34.416666666666664</v>
      </c>
      <c r="I46" s="5">
        <f t="shared" si="2"/>
        <v>56.5</v>
      </c>
    </row>
    <row r="47" spans="1:9" x14ac:dyDescent="0.3">
      <c r="A47" s="4">
        <v>46</v>
      </c>
      <c r="B47" s="5" t="s">
        <v>59</v>
      </c>
      <c r="C47" s="5" t="s">
        <v>27</v>
      </c>
      <c r="D47" s="5" t="s">
        <v>63</v>
      </c>
      <c r="E47" s="5">
        <v>12</v>
      </c>
      <c r="F47" s="5">
        <v>321</v>
      </c>
      <c r="G47" s="6">
        <v>196</v>
      </c>
      <c r="H47" s="18">
        <f t="shared" si="0"/>
        <v>16.333333333333332</v>
      </c>
      <c r="I47" s="5">
        <f t="shared" si="2"/>
        <v>26.75</v>
      </c>
    </row>
    <row r="48" spans="1:9" x14ac:dyDescent="0.3">
      <c r="A48" s="4">
        <v>47</v>
      </c>
      <c r="B48" s="5" t="s">
        <v>14</v>
      </c>
      <c r="C48" s="5" t="s">
        <v>21</v>
      </c>
      <c r="D48" s="5" t="s">
        <v>64</v>
      </c>
      <c r="E48" s="5">
        <v>15</v>
      </c>
      <c r="F48" s="5">
        <v>765</v>
      </c>
      <c r="G48" s="6">
        <v>466</v>
      </c>
      <c r="H48" s="18">
        <f t="shared" si="0"/>
        <v>31.066666666666666</v>
      </c>
      <c r="I48" s="5">
        <f t="shared" si="2"/>
        <v>51</v>
      </c>
    </row>
    <row r="49" spans="1:9" x14ac:dyDescent="0.3">
      <c r="A49" s="4">
        <v>48</v>
      </c>
      <c r="B49" s="5" t="s">
        <v>14</v>
      </c>
      <c r="C49" s="5" t="s">
        <v>8</v>
      </c>
      <c r="D49" s="5" t="s">
        <v>65</v>
      </c>
      <c r="E49" s="5">
        <v>14</v>
      </c>
      <c r="F49" s="5">
        <v>541</v>
      </c>
      <c r="G49" s="6">
        <v>331</v>
      </c>
      <c r="H49" s="18">
        <f t="shared" si="0"/>
        <v>23.642857142857142</v>
      </c>
      <c r="I49" s="5">
        <f t="shared" si="2"/>
        <v>38.642857142857146</v>
      </c>
    </row>
    <row r="50" spans="1:9" x14ac:dyDescent="0.3">
      <c r="A50" s="4">
        <v>49</v>
      </c>
      <c r="B50" s="5" t="s">
        <v>14</v>
      </c>
      <c r="C50" s="5" t="s">
        <v>27</v>
      </c>
      <c r="D50" s="5" t="s">
        <v>66</v>
      </c>
      <c r="E50" s="5">
        <v>9</v>
      </c>
      <c r="F50" s="5">
        <v>187</v>
      </c>
      <c r="G50" s="6">
        <v>114</v>
      </c>
      <c r="H50" s="18">
        <f t="shared" si="0"/>
        <v>12.666666666666666</v>
      </c>
      <c r="I50" s="5">
        <f t="shared" si="2"/>
        <v>20.777777777777779</v>
      </c>
    </row>
    <row r="51" spans="1:9" x14ac:dyDescent="0.3">
      <c r="A51" s="4">
        <v>50</v>
      </c>
      <c r="B51" s="5" t="s">
        <v>14</v>
      </c>
      <c r="C51" s="5" t="s">
        <v>21</v>
      </c>
      <c r="D51" s="5" t="s">
        <v>67</v>
      </c>
      <c r="E51" s="5">
        <v>15</v>
      </c>
      <c r="F51" s="5">
        <v>786</v>
      </c>
      <c r="G51" s="6">
        <v>479</v>
      </c>
      <c r="H51" s="18">
        <f t="shared" si="0"/>
        <v>31.933333333333334</v>
      </c>
      <c r="I51" s="5">
        <f t="shared" si="2"/>
        <v>52.4</v>
      </c>
    </row>
    <row r="52" spans="1:9" x14ac:dyDescent="0.3">
      <c r="A52" s="4">
        <v>51</v>
      </c>
      <c r="B52" s="5" t="s">
        <v>20</v>
      </c>
      <c r="C52" s="5" t="s">
        <v>8</v>
      </c>
      <c r="D52" s="5" t="s">
        <v>65</v>
      </c>
      <c r="E52" s="5">
        <v>14</v>
      </c>
      <c r="F52" s="5">
        <v>655</v>
      </c>
      <c r="G52" s="6">
        <v>399</v>
      </c>
      <c r="H52" s="18">
        <f t="shared" si="0"/>
        <v>28.5</v>
      </c>
      <c r="I52" s="5">
        <f t="shared" si="2"/>
        <v>46.785714285714285</v>
      </c>
    </row>
    <row r="53" spans="1:9" x14ac:dyDescent="0.3">
      <c r="A53" s="4">
        <v>52</v>
      </c>
      <c r="B53" s="5" t="s">
        <v>20</v>
      </c>
      <c r="C53" s="5" t="s">
        <v>27</v>
      </c>
      <c r="D53" s="5" t="s">
        <v>11</v>
      </c>
      <c r="E53" s="5">
        <v>20</v>
      </c>
      <c r="F53" s="5">
        <v>989</v>
      </c>
      <c r="G53" s="6">
        <v>603</v>
      </c>
      <c r="H53" s="18">
        <f t="shared" si="0"/>
        <v>30.15</v>
      </c>
      <c r="I53" s="5">
        <f t="shared" si="2"/>
        <v>49.45</v>
      </c>
    </row>
    <row r="54" spans="1:9" x14ac:dyDescent="0.3">
      <c r="A54" s="4">
        <v>53</v>
      </c>
      <c r="B54" s="5" t="s">
        <v>20</v>
      </c>
      <c r="C54" s="5" t="s">
        <v>21</v>
      </c>
      <c r="D54" s="5" t="s">
        <v>68</v>
      </c>
      <c r="E54" s="5">
        <v>16</v>
      </c>
      <c r="F54" s="5">
        <v>722</v>
      </c>
      <c r="G54" s="6">
        <v>441</v>
      </c>
      <c r="H54" s="18">
        <f t="shared" si="0"/>
        <v>27.5625</v>
      </c>
      <c r="I54" s="5">
        <f t="shared" si="2"/>
        <v>45.125</v>
      </c>
    </row>
    <row r="55" spans="1:9" x14ac:dyDescent="0.3">
      <c r="A55" s="4">
        <v>54</v>
      </c>
      <c r="B55" s="5" t="s">
        <v>20</v>
      </c>
      <c r="C55" s="5" t="s">
        <v>15</v>
      </c>
      <c r="D55" s="5" t="s">
        <v>69</v>
      </c>
      <c r="E55" s="5">
        <v>17</v>
      </c>
      <c r="F55" s="5">
        <v>864</v>
      </c>
      <c r="G55" s="6">
        <v>527</v>
      </c>
      <c r="H55" s="18">
        <f t="shared" si="0"/>
        <v>31</v>
      </c>
      <c r="I55" s="5">
        <f t="shared" si="2"/>
        <v>50.823529411764703</v>
      </c>
    </row>
    <row r="56" spans="1:9" x14ac:dyDescent="0.3">
      <c r="A56" s="4">
        <v>55</v>
      </c>
      <c r="B56" s="5" t="s">
        <v>26</v>
      </c>
      <c r="C56" s="5" t="s">
        <v>21</v>
      </c>
      <c r="D56" s="5" t="s">
        <v>70</v>
      </c>
      <c r="E56" s="5">
        <v>20</v>
      </c>
      <c r="F56" s="5">
        <v>999</v>
      </c>
      <c r="G56" s="6">
        <v>610</v>
      </c>
      <c r="H56" s="18">
        <f t="shared" si="0"/>
        <v>30.5</v>
      </c>
      <c r="I56" s="5">
        <f t="shared" si="2"/>
        <v>49.95</v>
      </c>
    </row>
    <row r="57" spans="1:9" x14ac:dyDescent="0.3">
      <c r="A57" s="4">
        <v>56</v>
      </c>
      <c r="B57" s="5" t="s">
        <v>26</v>
      </c>
      <c r="C57" s="5" t="s">
        <v>27</v>
      </c>
      <c r="D57" s="5" t="s">
        <v>44</v>
      </c>
      <c r="E57" s="5">
        <v>15</v>
      </c>
      <c r="F57" s="5">
        <v>762</v>
      </c>
      <c r="G57" s="6">
        <v>465</v>
      </c>
      <c r="H57" s="18">
        <f t="shared" si="0"/>
        <v>31</v>
      </c>
      <c r="I57" s="5">
        <f t="shared" si="2"/>
        <v>50.8</v>
      </c>
    </row>
    <row r="58" spans="1:9" x14ac:dyDescent="0.3">
      <c r="A58" s="4">
        <v>57</v>
      </c>
      <c r="B58" s="5" t="s">
        <v>26</v>
      </c>
      <c r="C58" s="5" t="s">
        <v>8</v>
      </c>
      <c r="D58" s="5" t="s">
        <v>71</v>
      </c>
      <c r="E58" s="5">
        <v>9</v>
      </c>
      <c r="F58" s="5">
        <v>127</v>
      </c>
      <c r="G58" s="6">
        <v>78</v>
      </c>
      <c r="H58" s="18">
        <f t="shared" si="0"/>
        <v>8.6666666666666661</v>
      </c>
      <c r="I58" s="5">
        <f t="shared" si="2"/>
        <v>14.111111111111111</v>
      </c>
    </row>
    <row r="59" spans="1:9" x14ac:dyDescent="0.3">
      <c r="A59" s="4">
        <v>58</v>
      </c>
      <c r="B59" s="5" t="s">
        <v>26</v>
      </c>
      <c r="C59" s="5" t="s">
        <v>21</v>
      </c>
      <c r="D59" s="5" t="s">
        <v>51</v>
      </c>
      <c r="E59" s="5">
        <v>8</v>
      </c>
      <c r="F59" s="5">
        <v>164</v>
      </c>
      <c r="G59" s="6">
        <v>100</v>
      </c>
      <c r="H59" s="18">
        <f t="shared" si="0"/>
        <v>12.5</v>
      </c>
      <c r="I59" s="5">
        <f t="shared" si="2"/>
        <v>20.5</v>
      </c>
    </row>
    <row r="60" spans="1:9" x14ac:dyDescent="0.3">
      <c r="A60" s="4">
        <v>59</v>
      </c>
      <c r="B60" s="5" t="s">
        <v>32</v>
      </c>
      <c r="C60" s="5" t="s">
        <v>27</v>
      </c>
      <c r="D60" s="5" t="s">
        <v>72</v>
      </c>
      <c r="E60" s="5">
        <v>14</v>
      </c>
      <c r="F60" s="5">
        <v>646</v>
      </c>
      <c r="G60" s="6">
        <v>394</v>
      </c>
      <c r="H60" s="18">
        <f t="shared" si="0"/>
        <v>28.142857142857142</v>
      </c>
      <c r="I60" s="5">
        <f t="shared" si="2"/>
        <v>46.142857142857146</v>
      </c>
    </row>
    <row r="61" spans="1:9" x14ac:dyDescent="0.3">
      <c r="A61" s="4">
        <v>60</v>
      </c>
      <c r="B61" s="5" t="s">
        <v>32</v>
      </c>
      <c r="C61" s="5" t="s">
        <v>15</v>
      </c>
      <c r="D61" s="5" t="s">
        <v>73</v>
      </c>
      <c r="E61" s="5">
        <v>11</v>
      </c>
      <c r="F61" s="5">
        <v>294</v>
      </c>
      <c r="G61" s="6">
        <v>179</v>
      </c>
      <c r="H61" s="18">
        <f t="shared" si="0"/>
        <v>16.272727272727273</v>
      </c>
      <c r="I61" s="5">
        <f t="shared" si="2"/>
        <v>26.727272727272727</v>
      </c>
    </row>
    <row r="62" spans="1:9" x14ac:dyDescent="0.3">
      <c r="A62" s="4">
        <v>61</v>
      </c>
      <c r="B62" s="5" t="s">
        <v>32</v>
      </c>
      <c r="C62" s="5" t="s">
        <v>21</v>
      </c>
      <c r="D62" s="5" t="s">
        <v>56</v>
      </c>
      <c r="E62" s="5">
        <v>10</v>
      </c>
      <c r="F62" s="5">
        <v>223</v>
      </c>
      <c r="G62" s="6">
        <v>136</v>
      </c>
      <c r="H62" s="18">
        <f t="shared" si="0"/>
        <v>13.6</v>
      </c>
      <c r="I62" s="5">
        <f t="shared" si="2"/>
        <v>22.3</v>
      </c>
    </row>
    <row r="63" spans="1:9" x14ac:dyDescent="0.3">
      <c r="A63" s="4">
        <v>62</v>
      </c>
      <c r="B63" s="5" t="s">
        <v>32</v>
      </c>
      <c r="C63" s="5" t="s">
        <v>27</v>
      </c>
      <c r="D63" s="5" t="s">
        <v>55</v>
      </c>
      <c r="E63" s="5">
        <v>15</v>
      </c>
      <c r="F63" s="5">
        <v>785</v>
      </c>
      <c r="G63" s="6">
        <v>480</v>
      </c>
      <c r="H63" s="18">
        <f t="shared" si="0"/>
        <v>32</v>
      </c>
      <c r="I63" s="5">
        <f t="shared" si="2"/>
        <v>52.333333333333336</v>
      </c>
    </row>
    <row r="64" spans="1:9" x14ac:dyDescent="0.3">
      <c r="A64" s="4">
        <v>63</v>
      </c>
      <c r="B64" s="5" t="s">
        <v>37</v>
      </c>
      <c r="C64" s="5" t="s">
        <v>15</v>
      </c>
      <c r="D64" s="5" t="s">
        <v>74</v>
      </c>
      <c r="E64" s="5">
        <v>16</v>
      </c>
      <c r="F64" s="5">
        <v>777</v>
      </c>
      <c r="G64" s="6">
        <v>475</v>
      </c>
      <c r="H64" s="18">
        <f t="shared" si="0"/>
        <v>29.6875</v>
      </c>
      <c r="I64" s="5">
        <f t="shared" si="2"/>
        <v>48.5625</v>
      </c>
    </row>
    <row r="65" spans="1:9" x14ac:dyDescent="0.3">
      <c r="A65" s="4">
        <v>64</v>
      </c>
      <c r="B65" s="5" t="s">
        <v>37</v>
      </c>
      <c r="C65" s="5" t="s">
        <v>27</v>
      </c>
      <c r="D65" s="5" t="s">
        <v>75</v>
      </c>
      <c r="E65" s="5">
        <v>9</v>
      </c>
      <c r="F65" s="5">
        <v>144</v>
      </c>
      <c r="G65" s="6">
        <v>88</v>
      </c>
      <c r="H65" s="18">
        <f t="shared" si="0"/>
        <v>9.7777777777777786</v>
      </c>
      <c r="I65" s="5">
        <f t="shared" si="2"/>
        <v>16</v>
      </c>
    </row>
    <row r="66" spans="1:9" x14ac:dyDescent="0.3">
      <c r="A66" s="4">
        <v>65</v>
      </c>
      <c r="B66" s="5" t="s">
        <v>37</v>
      </c>
      <c r="C66" s="5" t="s">
        <v>8</v>
      </c>
      <c r="D66" s="5" t="s">
        <v>68</v>
      </c>
      <c r="E66" s="5">
        <v>18</v>
      </c>
      <c r="F66" s="5">
        <v>699</v>
      </c>
      <c r="G66" s="6">
        <v>426</v>
      </c>
      <c r="H66" s="18">
        <f t="shared" ref="H66:H124" si="3">G66/E66</f>
        <v>23.666666666666668</v>
      </c>
      <c r="I66" s="5">
        <f t="shared" ref="I66:I97" si="4">F66/E66</f>
        <v>38.833333333333336</v>
      </c>
    </row>
    <row r="67" spans="1:9" x14ac:dyDescent="0.3">
      <c r="A67" s="4">
        <v>66</v>
      </c>
      <c r="B67" s="5" t="s">
        <v>37</v>
      </c>
      <c r="C67" s="5" t="s">
        <v>27</v>
      </c>
      <c r="D67" s="5" t="s">
        <v>76</v>
      </c>
      <c r="E67" s="5">
        <v>14</v>
      </c>
      <c r="F67" s="5">
        <v>665</v>
      </c>
      <c r="G67" s="6">
        <v>406</v>
      </c>
      <c r="H67" s="18">
        <f t="shared" si="3"/>
        <v>29</v>
      </c>
      <c r="I67" s="5">
        <f t="shared" si="4"/>
        <v>47.5</v>
      </c>
    </row>
    <row r="68" spans="1:9" x14ac:dyDescent="0.3">
      <c r="A68" s="4">
        <v>67</v>
      </c>
      <c r="B68" s="5" t="s">
        <v>41</v>
      </c>
      <c r="C68" s="5" t="s">
        <v>21</v>
      </c>
      <c r="D68" s="5" t="s">
        <v>77</v>
      </c>
      <c r="E68" s="5">
        <v>10</v>
      </c>
      <c r="F68" s="5">
        <v>233</v>
      </c>
      <c r="G68" s="6">
        <v>142</v>
      </c>
      <c r="H68" s="18">
        <f t="shared" si="3"/>
        <v>14.2</v>
      </c>
      <c r="I68" s="5">
        <f t="shared" si="4"/>
        <v>23.3</v>
      </c>
    </row>
    <row r="69" spans="1:9" x14ac:dyDescent="0.3">
      <c r="A69" s="4">
        <v>68</v>
      </c>
      <c r="B69" s="5" t="s">
        <v>41</v>
      </c>
      <c r="C69" s="5" t="s">
        <v>15</v>
      </c>
      <c r="D69" s="5" t="s">
        <v>78</v>
      </c>
      <c r="E69" s="5">
        <v>11</v>
      </c>
      <c r="F69" s="5">
        <v>356</v>
      </c>
      <c r="G69" s="6">
        <v>217</v>
      </c>
      <c r="H69" s="18">
        <f t="shared" si="3"/>
        <v>19.727272727272727</v>
      </c>
      <c r="I69" s="5">
        <f t="shared" si="4"/>
        <v>32.363636363636367</v>
      </c>
    </row>
    <row r="70" spans="1:9" x14ac:dyDescent="0.3">
      <c r="A70" s="4">
        <v>69</v>
      </c>
      <c r="B70" s="5" t="s">
        <v>41</v>
      </c>
      <c r="C70" s="5" t="s">
        <v>8</v>
      </c>
      <c r="D70" s="5" t="s">
        <v>79</v>
      </c>
      <c r="E70" s="5">
        <v>16</v>
      </c>
      <c r="F70" s="5">
        <v>715</v>
      </c>
      <c r="G70" s="6">
        <v>436</v>
      </c>
      <c r="H70" s="18">
        <f t="shared" si="3"/>
        <v>27.25</v>
      </c>
      <c r="I70" s="5">
        <f t="shared" si="4"/>
        <v>44.6875</v>
      </c>
    </row>
    <row r="71" spans="1:9" x14ac:dyDescent="0.3">
      <c r="A71" s="4">
        <v>70</v>
      </c>
      <c r="B71" s="5" t="s">
        <v>41</v>
      </c>
      <c r="C71" s="5" t="s">
        <v>27</v>
      </c>
      <c r="D71" s="5" t="s">
        <v>80</v>
      </c>
      <c r="E71" s="5">
        <v>18</v>
      </c>
      <c r="F71" s="5">
        <v>777</v>
      </c>
      <c r="G71" s="6">
        <v>475</v>
      </c>
      <c r="H71" s="18">
        <f t="shared" si="3"/>
        <v>26.388888888888889</v>
      </c>
      <c r="I71" s="5">
        <f t="shared" si="4"/>
        <v>43.166666666666664</v>
      </c>
    </row>
    <row r="72" spans="1:9" x14ac:dyDescent="0.3">
      <c r="A72" s="4">
        <v>71</v>
      </c>
      <c r="B72" s="5" t="s">
        <v>49</v>
      </c>
      <c r="C72" s="5" t="s">
        <v>8</v>
      </c>
      <c r="D72" s="5" t="s">
        <v>81</v>
      </c>
      <c r="E72" s="5">
        <v>20</v>
      </c>
      <c r="F72" s="5">
        <v>988</v>
      </c>
      <c r="G72" s="6">
        <v>602</v>
      </c>
      <c r="H72" s="18">
        <f t="shared" si="3"/>
        <v>30.1</v>
      </c>
      <c r="I72" s="5">
        <f t="shared" si="4"/>
        <v>49.4</v>
      </c>
    </row>
    <row r="73" spans="1:9" x14ac:dyDescent="0.3">
      <c r="A73" s="4">
        <v>72</v>
      </c>
      <c r="B73" s="5" t="s">
        <v>49</v>
      </c>
      <c r="C73" s="5" t="s">
        <v>21</v>
      </c>
      <c r="D73" s="5" t="s">
        <v>82</v>
      </c>
      <c r="E73" s="5">
        <v>16</v>
      </c>
      <c r="F73" s="5">
        <v>712</v>
      </c>
      <c r="G73" s="6">
        <v>434</v>
      </c>
      <c r="H73" s="18">
        <f t="shared" si="3"/>
        <v>27.125</v>
      </c>
      <c r="I73" s="5">
        <f t="shared" si="4"/>
        <v>44.5</v>
      </c>
    </row>
    <row r="74" spans="1:9" x14ac:dyDescent="0.3">
      <c r="A74" s="4">
        <v>73</v>
      </c>
      <c r="B74" s="5" t="s">
        <v>49</v>
      </c>
      <c r="C74" s="5" t="s">
        <v>27</v>
      </c>
      <c r="D74" s="5" t="s">
        <v>83</v>
      </c>
      <c r="E74" s="5">
        <v>15</v>
      </c>
      <c r="F74" s="5">
        <v>798</v>
      </c>
      <c r="G74" s="6">
        <v>487</v>
      </c>
      <c r="H74" s="18">
        <f t="shared" si="3"/>
        <v>32.466666666666669</v>
      </c>
      <c r="I74" s="5">
        <f t="shared" si="4"/>
        <v>53.2</v>
      </c>
    </row>
    <row r="75" spans="1:9" x14ac:dyDescent="0.3">
      <c r="A75" s="4">
        <v>74</v>
      </c>
      <c r="B75" s="5" t="s">
        <v>49</v>
      </c>
      <c r="C75" s="5" t="s">
        <v>15</v>
      </c>
      <c r="D75" s="5" t="s">
        <v>40</v>
      </c>
      <c r="E75" s="5">
        <v>10</v>
      </c>
      <c r="F75" s="5">
        <v>199</v>
      </c>
      <c r="G75" s="6">
        <v>121</v>
      </c>
      <c r="H75" s="18">
        <f t="shared" si="3"/>
        <v>12.1</v>
      </c>
      <c r="I75" s="5">
        <f t="shared" si="4"/>
        <v>19.899999999999999</v>
      </c>
    </row>
    <row r="76" spans="1:9" x14ac:dyDescent="0.3">
      <c r="A76" s="4">
        <v>75</v>
      </c>
      <c r="B76" s="5" t="s">
        <v>45</v>
      </c>
      <c r="C76" s="5" t="s">
        <v>21</v>
      </c>
      <c r="D76" s="5" t="s">
        <v>84</v>
      </c>
      <c r="E76" s="5">
        <v>12</v>
      </c>
      <c r="F76" s="5">
        <v>478</v>
      </c>
      <c r="G76" s="6">
        <v>292</v>
      </c>
      <c r="H76" s="18">
        <f t="shared" si="3"/>
        <v>24.333333333333332</v>
      </c>
      <c r="I76" s="5">
        <f t="shared" si="4"/>
        <v>39.833333333333336</v>
      </c>
    </row>
    <row r="77" spans="1:9" x14ac:dyDescent="0.3">
      <c r="A77" s="4">
        <v>76</v>
      </c>
      <c r="B77" s="5" t="s">
        <v>45</v>
      </c>
      <c r="C77" s="5" t="s">
        <v>8</v>
      </c>
      <c r="D77" s="5" t="s">
        <v>85</v>
      </c>
      <c r="E77" s="5">
        <v>9</v>
      </c>
      <c r="F77" s="5">
        <v>186</v>
      </c>
      <c r="G77" s="6">
        <v>113</v>
      </c>
      <c r="H77" s="18">
        <f t="shared" si="3"/>
        <v>12.555555555555555</v>
      </c>
      <c r="I77" s="5">
        <f t="shared" si="4"/>
        <v>20.666666666666668</v>
      </c>
    </row>
    <row r="78" spans="1:9" x14ac:dyDescent="0.3">
      <c r="A78" s="4">
        <v>77</v>
      </c>
      <c r="B78" s="5" t="s">
        <v>45</v>
      </c>
      <c r="C78" s="5" t="s">
        <v>27</v>
      </c>
      <c r="D78" s="5" t="s">
        <v>86</v>
      </c>
      <c r="E78" s="5">
        <v>15</v>
      </c>
      <c r="F78" s="5">
        <v>761</v>
      </c>
      <c r="G78" s="6">
        <v>464</v>
      </c>
      <c r="H78" s="18">
        <f t="shared" si="3"/>
        <v>30.933333333333334</v>
      </c>
      <c r="I78" s="5">
        <f t="shared" si="4"/>
        <v>50.733333333333334</v>
      </c>
    </row>
    <row r="79" spans="1:9" x14ac:dyDescent="0.3">
      <c r="A79" s="4">
        <v>78</v>
      </c>
      <c r="B79" s="5" t="s">
        <v>45</v>
      </c>
      <c r="C79" s="5" t="s">
        <v>15</v>
      </c>
      <c r="D79" s="5" t="s">
        <v>65</v>
      </c>
      <c r="E79" s="5">
        <v>10</v>
      </c>
      <c r="F79" s="5">
        <v>288</v>
      </c>
      <c r="G79" s="6">
        <v>176</v>
      </c>
      <c r="H79" s="18">
        <f t="shared" si="3"/>
        <v>17.600000000000001</v>
      </c>
      <c r="I79" s="5">
        <f t="shared" si="4"/>
        <v>28.8</v>
      </c>
    </row>
    <row r="80" spans="1:9" x14ac:dyDescent="0.3">
      <c r="A80" s="4">
        <v>79</v>
      </c>
      <c r="B80" s="5" t="s">
        <v>54</v>
      </c>
      <c r="C80" s="5" t="s">
        <v>27</v>
      </c>
      <c r="D80" s="5" t="s">
        <v>87</v>
      </c>
      <c r="E80" s="5">
        <v>18</v>
      </c>
      <c r="F80" s="5">
        <v>699</v>
      </c>
      <c r="G80" s="6">
        <v>426</v>
      </c>
      <c r="H80" s="18">
        <f t="shared" si="3"/>
        <v>23.666666666666668</v>
      </c>
      <c r="I80" s="5">
        <f t="shared" si="4"/>
        <v>38.833333333333336</v>
      </c>
    </row>
    <row r="81" spans="1:9" x14ac:dyDescent="0.3">
      <c r="A81" s="4">
        <v>80</v>
      </c>
      <c r="B81" s="5" t="s">
        <v>54</v>
      </c>
      <c r="C81" s="5" t="s">
        <v>21</v>
      </c>
      <c r="D81" s="5" t="s">
        <v>88</v>
      </c>
      <c r="E81" s="5">
        <v>16</v>
      </c>
      <c r="F81" s="5">
        <v>777</v>
      </c>
      <c r="G81" s="6">
        <v>475</v>
      </c>
      <c r="H81" s="18">
        <f t="shared" si="3"/>
        <v>29.6875</v>
      </c>
      <c r="I81" s="5">
        <f t="shared" si="4"/>
        <v>48.5625</v>
      </c>
    </row>
    <row r="82" spans="1:9" x14ac:dyDescent="0.3">
      <c r="A82" s="4">
        <v>81</v>
      </c>
      <c r="B82" s="5" t="s">
        <v>54</v>
      </c>
      <c r="C82" s="5" t="s">
        <v>8</v>
      </c>
      <c r="D82" s="5" t="s">
        <v>29</v>
      </c>
      <c r="E82" s="5">
        <v>11</v>
      </c>
      <c r="F82" s="5">
        <v>355</v>
      </c>
      <c r="G82" s="6">
        <v>217</v>
      </c>
      <c r="H82" s="18">
        <f t="shared" si="3"/>
        <v>19.727272727272727</v>
      </c>
      <c r="I82" s="5">
        <f t="shared" si="4"/>
        <v>32.272727272727273</v>
      </c>
    </row>
    <row r="83" spans="1:9" x14ac:dyDescent="0.3">
      <c r="A83" s="4">
        <v>82</v>
      </c>
      <c r="B83" s="5" t="s">
        <v>54</v>
      </c>
      <c r="C83" s="5" t="s">
        <v>27</v>
      </c>
      <c r="D83" s="5" t="s">
        <v>89</v>
      </c>
      <c r="E83" s="5">
        <v>10</v>
      </c>
      <c r="F83" s="5">
        <v>233</v>
      </c>
      <c r="G83" s="6">
        <v>142</v>
      </c>
      <c r="H83" s="18">
        <f t="shared" si="3"/>
        <v>14.2</v>
      </c>
      <c r="I83" s="5">
        <f t="shared" si="4"/>
        <v>23.3</v>
      </c>
    </row>
    <row r="84" spans="1:9" x14ac:dyDescent="0.3">
      <c r="A84" s="4">
        <v>83</v>
      </c>
      <c r="B84" s="5" t="s">
        <v>54</v>
      </c>
      <c r="C84" s="5" t="s">
        <v>21</v>
      </c>
      <c r="D84" s="5" t="s">
        <v>90</v>
      </c>
      <c r="E84" s="5">
        <v>16</v>
      </c>
      <c r="F84" s="5">
        <v>723</v>
      </c>
      <c r="G84" s="6">
        <v>441</v>
      </c>
      <c r="H84" s="18">
        <f t="shared" si="3"/>
        <v>27.5625</v>
      </c>
      <c r="I84" s="5">
        <f t="shared" si="4"/>
        <v>45.1875</v>
      </c>
    </row>
    <row r="85" spans="1:9" x14ac:dyDescent="0.3">
      <c r="A85" s="4">
        <v>84</v>
      </c>
      <c r="B85" s="5" t="s">
        <v>59</v>
      </c>
      <c r="C85" s="5" t="s">
        <v>27</v>
      </c>
      <c r="D85" s="5" t="s">
        <v>91</v>
      </c>
      <c r="E85" s="5">
        <v>19</v>
      </c>
      <c r="F85" s="5">
        <v>467</v>
      </c>
      <c r="G85" s="6">
        <v>285</v>
      </c>
      <c r="H85" s="18">
        <f t="shared" si="3"/>
        <v>15</v>
      </c>
      <c r="I85" s="5">
        <f t="shared" si="4"/>
        <v>24.578947368421051</v>
      </c>
    </row>
    <row r="86" spans="1:9" x14ac:dyDescent="0.3">
      <c r="A86" s="4">
        <v>85</v>
      </c>
      <c r="B86" s="5" t="s">
        <v>14</v>
      </c>
      <c r="C86" s="5" t="s">
        <v>15</v>
      </c>
      <c r="D86" s="5" t="s">
        <v>92</v>
      </c>
      <c r="E86" s="5">
        <v>11</v>
      </c>
      <c r="F86" s="5">
        <v>366</v>
      </c>
      <c r="G86" s="6">
        <v>223</v>
      </c>
      <c r="H86" s="18">
        <f t="shared" si="3"/>
        <v>20.272727272727273</v>
      </c>
      <c r="I86" s="5">
        <f t="shared" si="4"/>
        <v>33.272727272727273</v>
      </c>
    </row>
    <row r="87" spans="1:9" x14ac:dyDescent="0.3">
      <c r="A87" s="4">
        <v>86</v>
      </c>
      <c r="B87" s="5" t="s">
        <v>20</v>
      </c>
      <c r="C87" s="5" t="s">
        <v>8</v>
      </c>
      <c r="D87" s="5" t="s">
        <v>85</v>
      </c>
      <c r="E87" s="5">
        <v>10</v>
      </c>
      <c r="F87" s="5">
        <v>267</v>
      </c>
      <c r="G87" s="6">
        <v>163</v>
      </c>
      <c r="H87" s="18">
        <f t="shared" si="3"/>
        <v>16.3</v>
      </c>
      <c r="I87" s="5">
        <f t="shared" si="4"/>
        <v>26.7</v>
      </c>
    </row>
    <row r="88" spans="1:9" x14ac:dyDescent="0.3">
      <c r="A88" s="4">
        <v>87</v>
      </c>
      <c r="B88" s="5" t="s">
        <v>26</v>
      </c>
      <c r="C88" s="5" t="s">
        <v>21</v>
      </c>
      <c r="D88" s="5" t="s">
        <v>93</v>
      </c>
      <c r="E88" s="5">
        <v>15</v>
      </c>
      <c r="F88" s="5">
        <v>789</v>
      </c>
      <c r="G88" s="6">
        <v>480</v>
      </c>
      <c r="H88" s="18">
        <f t="shared" si="3"/>
        <v>32</v>
      </c>
      <c r="I88" s="5">
        <f t="shared" si="4"/>
        <v>52.6</v>
      </c>
    </row>
    <row r="89" spans="1:9" x14ac:dyDescent="0.3">
      <c r="A89" s="4">
        <v>88</v>
      </c>
      <c r="B89" s="5" t="s">
        <v>49</v>
      </c>
      <c r="C89" s="5" t="s">
        <v>27</v>
      </c>
      <c r="D89" s="5" t="s">
        <v>61</v>
      </c>
      <c r="E89" s="5">
        <v>14</v>
      </c>
      <c r="F89" s="5">
        <v>655</v>
      </c>
      <c r="G89" s="6">
        <v>399</v>
      </c>
      <c r="H89" s="18">
        <f t="shared" si="3"/>
        <v>28.5</v>
      </c>
      <c r="I89" s="5">
        <f t="shared" si="4"/>
        <v>46.785714285714285</v>
      </c>
    </row>
    <row r="90" spans="1:9" x14ac:dyDescent="0.3">
      <c r="A90" s="4">
        <v>89</v>
      </c>
      <c r="B90" s="5" t="s">
        <v>37</v>
      </c>
      <c r="C90" s="5" t="s">
        <v>21</v>
      </c>
      <c r="D90" s="5" t="s">
        <v>55</v>
      </c>
      <c r="E90" s="5">
        <v>10</v>
      </c>
      <c r="F90" s="5">
        <v>223</v>
      </c>
      <c r="G90" s="6">
        <v>136</v>
      </c>
      <c r="H90" s="18">
        <f t="shared" si="3"/>
        <v>13.6</v>
      </c>
      <c r="I90" s="5">
        <f t="shared" si="4"/>
        <v>22.3</v>
      </c>
    </row>
    <row r="91" spans="1:9" x14ac:dyDescent="0.3">
      <c r="A91" s="4">
        <v>90</v>
      </c>
      <c r="B91" s="5" t="s">
        <v>32</v>
      </c>
      <c r="C91" s="5" t="s">
        <v>15</v>
      </c>
      <c r="D91" s="5" t="s">
        <v>94</v>
      </c>
      <c r="E91" s="5">
        <v>9</v>
      </c>
      <c r="F91" s="5">
        <v>192</v>
      </c>
      <c r="G91" s="6">
        <v>117</v>
      </c>
      <c r="H91" s="18">
        <f t="shared" si="3"/>
        <v>13</v>
      </c>
      <c r="I91" s="5">
        <f t="shared" si="4"/>
        <v>21.333333333333332</v>
      </c>
    </row>
    <row r="92" spans="1:9" x14ac:dyDescent="0.3">
      <c r="A92" s="4">
        <v>91</v>
      </c>
      <c r="B92" s="5" t="s">
        <v>41</v>
      </c>
      <c r="C92" s="5" t="s">
        <v>8</v>
      </c>
      <c r="D92" s="5" t="s">
        <v>95</v>
      </c>
      <c r="E92" s="5">
        <v>12</v>
      </c>
      <c r="F92" s="5">
        <v>326</v>
      </c>
      <c r="G92" s="6">
        <v>199</v>
      </c>
      <c r="H92" s="18">
        <f t="shared" si="3"/>
        <v>16.583333333333332</v>
      </c>
      <c r="I92" s="5">
        <f t="shared" si="4"/>
        <v>27.166666666666668</v>
      </c>
    </row>
    <row r="93" spans="1:9" x14ac:dyDescent="0.3">
      <c r="A93" s="4">
        <v>92</v>
      </c>
      <c r="B93" s="5" t="s">
        <v>45</v>
      </c>
      <c r="C93" s="5" t="s">
        <v>27</v>
      </c>
      <c r="D93" s="5" t="s">
        <v>69</v>
      </c>
      <c r="E93" s="5">
        <v>18</v>
      </c>
      <c r="F93" s="5">
        <v>499</v>
      </c>
      <c r="G93" s="6">
        <v>305</v>
      </c>
      <c r="H93" s="18">
        <f t="shared" si="3"/>
        <v>16.944444444444443</v>
      </c>
      <c r="I93" s="5">
        <f t="shared" si="4"/>
        <v>27.722222222222221</v>
      </c>
    </row>
    <row r="94" spans="1:9" x14ac:dyDescent="0.3">
      <c r="A94" s="4">
        <v>93</v>
      </c>
      <c r="B94" s="5" t="s">
        <v>54</v>
      </c>
      <c r="C94" s="5" t="s">
        <v>21</v>
      </c>
      <c r="D94" s="5" t="s">
        <v>50</v>
      </c>
      <c r="E94" s="5">
        <v>21</v>
      </c>
      <c r="F94" s="5">
        <v>633</v>
      </c>
      <c r="G94" s="6">
        <v>385</v>
      </c>
      <c r="H94" s="18">
        <f t="shared" si="3"/>
        <v>18.333333333333332</v>
      </c>
      <c r="I94" s="5">
        <f t="shared" si="4"/>
        <v>30.142857142857142</v>
      </c>
    </row>
    <row r="95" spans="1:9" x14ac:dyDescent="0.3">
      <c r="A95" s="4">
        <v>94</v>
      </c>
      <c r="B95" s="5" t="s">
        <v>59</v>
      </c>
      <c r="C95" s="5" t="s">
        <v>27</v>
      </c>
      <c r="D95" s="5" t="s">
        <v>96</v>
      </c>
      <c r="E95" s="5">
        <v>13</v>
      </c>
      <c r="F95" s="5">
        <v>432</v>
      </c>
      <c r="G95" s="6">
        <v>263</v>
      </c>
      <c r="H95" s="18">
        <f t="shared" si="3"/>
        <v>20.23076923076923</v>
      </c>
      <c r="I95" s="5">
        <f t="shared" si="4"/>
        <v>33.230769230769234</v>
      </c>
    </row>
    <row r="96" spans="1:9" x14ac:dyDescent="0.3">
      <c r="A96" s="4">
        <v>95</v>
      </c>
      <c r="B96" s="5" t="s">
        <v>14</v>
      </c>
      <c r="C96" s="5" t="s">
        <v>21</v>
      </c>
      <c r="D96" s="5" t="s">
        <v>97</v>
      </c>
      <c r="E96" s="5">
        <v>14</v>
      </c>
      <c r="F96" s="5">
        <v>655</v>
      </c>
      <c r="G96" s="6">
        <v>399</v>
      </c>
      <c r="H96" s="18">
        <f t="shared" si="3"/>
        <v>28.5</v>
      </c>
      <c r="I96" s="5">
        <f t="shared" si="4"/>
        <v>46.785714285714285</v>
      </c>
    </row>
    <row r="97" spans="1:9" x14ac:dyDescent="0.3">
      <c r="A97" s="4">
        <v>96</v>
      </c>
      <c r="B97" s="5" t="s">
        <v>20</v>
      </c>
      <c r="C97" s="5" t="s">
        <v>8</v>
      </c>
      <c r="D97" s="5" t="s">
        <v>98</v>
      </c>
      <c r="E97" s="5">
        <v>15</v>
      </c>
      <c r="F97" s="5">
        <v>785</v>
      </c>
      <c r="G97" s="6">
        <v>480</v>
      </c>
      <c r="H97" s="18">
        <f t="shared" si="3"/>
        <v>32</v>
      </c>
      <c r="I97" s="5">
        <f t="shared" si="4"/>
        <v>52.333333333333336</v>
      </c>
    </row>
    <row r="98" spans="1:9" x14ac:dyDescent="0.3">
      <c r="A98" s="4">
        <v>97</v>
      </c>
      <c r="B98" s="5" t="s">
        <v>26</v>
      </c>
      <c r="C98" s="5" t="s">
        <v>27</v>
      </c>
      <c r="D98" s="5" t="s">
        <v>9</v>
      </c>
      <c r="E98" s="5">
        <v>9</v>
      </c>
      <c r="F98" s="5">
        <v>147</v>
      </c>
      <c r="G98" s="6">
        <v>90</v>
      </c>
      <c r="H98" s="18">
        <f t="shared" si="3"/>
        <v>10</v>
      </c>
      <c r="I98" s="5">
        <f t="shared" ref="I98:I125" si="5">F98/E98</f>
        <v>16.333333333333332</v>
      </c>
    </row>
    <row r="99" spans="1:9" x14ac:dyDescent="0.3">
      <c r="A99" s="4">
        <v>98</v>
      </c>
      <c r="B99" s="5" t="s">
        <v>49</v>
      </c>
      <c r="C99" s="5" t="s">
        <v>8</v>
      </c>
      <c r="D99" s="5" t="s">
        <v>99</v>
      </c>
      <c r="E99" s="5">
        <v>17</v>
      </c>
      <c r="F99" s="5">
        <v>864</v>
      </c>
      <c r="G99" s="6">
        <v>527</v>
      </c>
      <c r="H99" s="18">
        <f t="shared" si="3"/>
        <v>31</v>
      </c>
      <c r="I99" s="5">
        <f t="shared" si="5"/>
        <v>50.823529411764703</v>
      </c>
    </row>
    <row r="100" spans="1:9" x14ac:dyDescent="0.3">
      <c r="A100" s="4">
        <v>99</v>
      </c>
      <c r="B100" s="5" t="s">
        <v>37</v>
      </c>
      <c r="C100" s="5" t="s">
        <v>27</v>
      </c>
      <c r="D100" s="5" t="s">
        <v>70</v>
      </c>
      <c r="E100" s="5">
        <v>20</v>
      </c>
      <c r="F100" s="5">
        <v>999</v>
      </c>
      <c r="G100" s="6">
        <v>610</v>
      </c>
      <c r="H100" s="18">
        <f t="shared" si="3"/>
        <v>30.5</v>
      </c>
      <c r="I100" s="5">
        <f t="shared" si="5"/>
        <v>49.95</v>
      </c>
    </row>
    <row r="101" spans="1:9" x14ac:dyDescent="0.3">
      <c r="A101" s="4">
        <v>100</v>
      </c>
      <c r="B101" s="5" t="s">
        <v>32</v>
      </c>
      <c r="C101" s="5" t="s">
        <v>15</v>
      </c>
      <c r="D101" s="5" t="s">
        <v>39</v>
      </c>
      <c r="E101" s="5">
        <v>16</v>
      </c>
      <c r="F101" s="5">
        <v>722</v>
      </c>
      <c r="G101" s="6">
        <v>441</v>
      </c>
      <c r="H101" s="18">
        <f t="shared" si="3"/>
        <v>27.5625</v>
      </c>
      <c r="I101" s="5">
        <f t="shared" si="5"/>
        <v>45.125</v>
      </c>
    </row>
    <row r="102" spans="1:9" x14ac:dyDescent="0.3">
      <c r="A102" s="4">
        <v>101</v>
      </c>
      <c r="B102" s="5" t="s">
        <v>41</v>
      </c>
      <c r="C102" s="5" t="s">
        <v>8</v>
      </c>
      <c r="D102" s="5" t="s">
        <v>51</v>
      </c>
      <c r="E102" s="5">
        <v>8</v>
      </c>
      <c r="F102" s="5">
        <v>125</v>
      </c>
      <c r="G102" s="6">
        <v>76</v>
      </c>
      <c r="H102" s="18">
        <f t="shared" si="3"/>
        <v>9.5</v>
      </c>
      <c r="I102" s="5">
        <f t="shared" si="5"/>
        <v>15.625</v>
      </c>
    </row>
    <row r="103" spans="1:9" x14ac:dyDescent="0.3">
      <c r="A103" s="4">
        <v>102</v>
      </c>
      <c r="B103" s="5" t="s">
        <v>45</v>
      </c>
      <c r="C103" s="5" t="s">
        <v>27</v>
      </c>
      <c r="D103" s="5" t="s">
        <v>65</v>
      </c>
      <c r="E103" s="5">
        <v>16</v>
      </c>
      <c r="F103" s="5">
        <v>777</v>
      </c>
      <c r="G103" s="6">
        <v>475</v>
      </c>
      <c r="H103" s="18">
        <f t="shared" si="3"/>
        <v>29.6875</v>
      </c>
      <c r="I103" s="5">
        <f t="shared" si="5"/>
        <v>48.5625</v>
      </c>
    </row>
    <row r="104" spans="1:9" x14ac:dyDescent="0.3">
      <c r="A104" s="4">
        <v>103</v>
      </c>
      <c r="B104" s="5" t="s">
        <v>54</v>
      </c>
      <c r="C104" s="5" t="s">
        <v>21</v>
      </c>
      <c r="D104" s="5" t="s">
        <v>58</v>
      </c>
      <c r="E104" s="5">
        <v>12</v>
      </c>
      <c r="F104" s="5">
        <v>342</v>
      </c>
      <c r="G104" s="6">
        <v>209</v>
      </c>
      <c r="H104" s="18">
        <f t="shared" si="3"/>
        <v>17.416666666666668</v>
      </c>
      <c r="I104" s="5">
        <f t="shared" si="5"/>
        <v>28.5</v>
      </c>
    </row>
    <row r="105" spans="1:9" x14ac:dyDescent="0.3">
      <c r="A105" s="4">
        <v>104</v>
      </c>
      <c r="B105" s="5" t="s">
        <v>59</v>
      </c>
      <c r="C105" s="5" t="s">
        <v>15</v>
      </c>
      <c r="D105" s="5" t="s">
        <v>60</v>
      </c>
      <c r="E105" s="5">
        <v>13</v>
      </c>
      <c r="F105" s="5">
        <v>453</v>
      </c>
      <c r="G105" s="6">
        <v>276</v>
      </c>
      <c r="H105" s="18">
        <f t="shared" si="3"/>
        <v>21.23076923076923</v>
      </c>
      <c r="I105" s="5">
        <f t="shared" si="5"/>
        <v>34.846153846153847</v>
      </c>
    </row>
    <row r="106" spans="1:9" x14ac:dyDescent="0.3">
      <c r="A106" s="4">
        <v>105</v>
      </c>
      <c r="B106" s="5" t="s">
        <v>14</v>
      </c>
      <c r="C106" s="5" t="s">
        <v>21</v>
      </c>
      <c r="D106" s="5" t="s">
        <v>43</v>
      </c>
      <c r="E106" s="5">
        <v>10</v>
      </c>
      <c r="F106" s="5">
        <v>238</v>
      </c>
      <c r="G106" s="6">
        <v>145</v>
      </c>
      <c r="H106" s="18">
        <f t="shared" si="3"/>
        <v>14.5</v>
      </c>
      <c r="I106" s="5">
        <f t="shared" si="5"/>
        <v>23.8</v>
      </c>
    </row>
    <row r="107" spans="1:9" x14ac:dyDescent="0.3">
      <c r="A107" s="4">
        <v>106</v>
      </c>
      <c r="B107" s="5" t="s">
        <v>20</v>
      </c>
      <c r="C107" s="5" t="s">
        <v>8</v>
      </c>
      <c r="D107" s="5" t="s">
        <v>66</v>
      </c>
      <c r="E107" s="5">
        <v>19</v>
      </c>
      <c r="F107" s="5">
        <v>468</v>
      </c>
      <c r="G107" s="6">
        <v>286</v>
      </c>
      <c r="H107" s="18">
        <f t="shared" si="3"/>
        <v>15.052631578947368</v>
      </c>
      <c r="I107" s="5">
        <f t="shared" si="5"/>
        <v>24.631578947368421</v>
      </c>
    </row>
    <row r="108" spans="1:9" x14ac:dyDescent="0.3">
      <c r="A108" s="4">
        <v>107</v>
      </c>
      <c r="B108" s="5" t="s">
        <v>26</v>
      </c>
      <c r="C108" s="5" t="s">
        <v>27</v>
      </c>
      <c r="D108" s="5" t="s">
        <v>73</v>
      </c>
      <c r="E108" s="5">
        <v>11</v>
      </c>
      <c r="F108" s="5">
        <v>356</v>
      </c>
      <c r="G108" s="6">
        <v>217</v>
      </c>
      <c r="H108" s="18">
        <f t="shared" si="3"/>
        <v>19.727272727272727</v>
      </c>
      <c r="I108" s="5">
        <f t="shared" si="5"/>
        <v>32.363636363636367</v>
      </c>
    </row>
    <row r="109" spans="1:9" x14ac:dyDescent="0.3">
      <c r="A109" s="4">
        <v>108</v>
      </c>
      <c r="B109" s="5" t="s">
        <v>49</v>
      </c>
      <c r="C109" s="5" t="s">
        <v>8</v>
      </c>
      <c r="D109" s="5" t="s">
        <v>44</v>
      </c>
      <c r="E109" s="5">
        <v>17</v>
      </c>
      <c r="F109" s="5">
        <v>799</v>
      </c>
      <c r="G109" s="6">
        <v>488</v>
      </c>
      <c r="H109" s="18">
        <f t="shared" si="3"/>
        <v>28.705882352941178</v>
      </c>
      <c r="I109" s="5">
        <f t="shared" si="5"/>
        <v>47</v>
      </c>
    </row>
    <row r="110" spans="1:9" x14ac:dyDescent="0.3">
      <c r="A110" s="4">
        <v>109</v>
      </c>
      <c r="B110" s="5" t="s">
        <v>37</v>
      </c>
      <c r="C110" s="5" t="s">
        <v>27</v>
      </c>
      <c r="D110" s="5" t="s">
        <v>72</v>
      </c>
      <c r="E110" s="5">
        <v>15</v>
      </c>
      <c r="F110" s="5">
        <v>789</v>
      </c>
      <c r="G110" s="6">
        <v>480</v>
      </c>
      <c r="H110" s="18">
        <f t="shared" si="3"/>
        <v>32</v>
      </c>
      <c r="I110" s="5">
        <f t="shared" si="5"/>
        <v>52.6</v>
      </c>
    </row>
    <row r="111" spans="1:9" x14ac:dyDescent="0.3">
      <c r="A111" s="4">
        <v>110</v>
      </c>
      <c r="B111" s="5" t="s">
        <v>32</v>
      </c>
      <c r="C111" s="5" t="s">
        <v>8</v>
      </c>
      <c r="D111" s="5" t="s">
        <v>52</v>
      </c>
      <c r="E111" s="5">
        <v>8</v>
      </c>
      <c r="F111" s="5">
        <v>156</v>
      </c>
      <c r="G111" s="6">
        <v>95</v>
      </c>
      <c r="H111" s="18">
        <f t="shared" si="3"/>
        <v>11.875</v>
      </c>
      <c r="I111" s="5">
        <f t="shared" si="5"/>
        <v>19.5</v>
      </c>
    </row>
    <row r="112" spans="1:9" x14ac:dyDescent="0.3">
      <c r="A112" s="4">
        <v>111</v>
      </c>
      <c r="B112" s="5" t="s">
        <v>41</v>
      </c>
      <c r="C112" s="5" t="s">
        <v>21</v>
      </c>
      <c r="D112" s="5" t="s">
        <v>68</v>
      </c>
      <c r="E112" s="5">
        <v>14</v>
      </c>
      <c r="F112" s="5">
        <v>655</v>
      </c>
      <c r="G112" s="6">
        <v>399</v>
      </c>
      <c r="H112" s="18">
        <f t="shared" si="3"/>
        <v>28.5</v>
      </c>
      <c r="I112" s="5">
        <f t="shared" si="5"/>
        <v>46.785714285714285</v>
      </c>
    </row>
    <row r="113" spans="1:9" x14ac:dyDescent="0.3">
      <c r="A113" s="4">
        <v>112</v>
      </c>
      <c r="B113" s="5" t="s">
        <v>45</v>
      </c>
      <c r="C113" s="5" t="s">
        <v>21</v>
      </c>
      <c r="D113" s="5" t="s">
        <v>56</v>
      </c>
      <c r="E113" s="5">
        <v>10</v>
      </c>
      <c r="F113" s="5">
        <v>239</v>
      </c>
      <c r="G113" s="6">
        <v>146</v>
      </c>
      <c r="H113" s="18">
        <f t="shared" si="3"/>
        <v>14.6</v>
      </c>
      <c r="I113" s="5">
        <f t="shared" si="5"/>
        <v>23.9</v>
      </c>
    </row>
    <row r="114" spans="1:9" x14ac:dyDescent="0.3">
      <c r="A114" s="4">
        <v>113</v>
      </c>
      <c r="B114" s="5" t="s">
        <v>54</v>
      </c>
      <c r="C114" s="5" t="s">
        <v>27</v>
      </c>
      <c r="D114" s="5" t="s">
        <v>67</v>
      </c>
      <c r="E114" s="5">
        <v>16</v>
      </c>
      <c r="F114" s="5">
        <v>745</v>
      </c>
      <c r="G114" s="6">
        <v>454</v>
      </c>
      <c r="H114" s="18">
        <f t="shared" si="3"/>
        <v>28.375</v>
      </c>
      <c r="I114" s="5">
        <f t="shared" si="5"/>
        <v>46.5625</v>
      </c>
    </row>
    <row r="115" spans="1:9" x14ac:dyDescent="0.3">
      <c r="A115" s="4">
        <v>114</v>
      </c>
      <c r="B115" s="5" t="s">
        <v>59</v>
      </c>
      <c r="C115" s="5" t="s">
        <v>15</v>
      </c>
      <c r="D115" s="5" t="s">
        <v>65</v>
      </c>
      <c r="E115" s="5">
        <v>19</v>
      </c>
      <c r="F115" s="5">
        <v>489</v>
      </c>
      <c r="G115" s="6">
        <v>298</v>
      </c>
      <c r="H115" s="18">
        <f t="shared" si="3"/>
        <v>15.684210526315789</v>
      </c>
      <c r="I115" s="5">
        <f t="shared" si="5"/>
        <v>25.736842105263158</v>
      </c>
    </row>
    <row r="116" spans="1:9" x14ac:dyDescent="0.3">
      <c r="A116" s="4">
        <v>115</v>
      </c>
      <c r="B116" s="5" t="s">
        <v>14</v>
      </c>
      <c r="C116" s="5" t="s">
        <v>21</v>
      </c>
      <c r="D116" s="5" t="s">
        <v>65</v>
      </c>
      <c r="E116" s="5">
        <v>9</v>
      </c>
      <c r="F116" s="5">
        <v>194</v>
      </c>
      <c r="G116" s="6">
        <v>118</v>
      </c>
      <c r="H116" s="18">
        <f t="shared" si="3"/>
        <v>13.111111111111111</v>
      </c>
      <c r="I116" s="5">
        <f t="shared" si="5"/>
        <v>21.555555555555557</v>
      </c>
    </row>
    <row r="117" spans="1:9" x14ac:dyDescent="0.3">
      <c r="A117" s="4">
        <v>116</v>
      </c>
      <c r="B117" s="5" t="s">
        <v>20</v>
      </c>
      <c r="C117" s="5" t="s">
        <v>8</v>
      </c>
      <c r="D117" s="5" t="s">
        <v>100</v>
      </c>
      <c r="E117" s="5">
        <v>15</v>
      </c>
      <c r="F117" s="5">
        <v>786</v>
      </c>
      <c r="G117" s="6">
        <v>479</v>
      </c>
      <c r="H117" s="18">
        <f t="shared" si="3"/>
        <v>31.933333333333334</v>
      </c>
      <c r="I117" s="5">
        <f t="shared" si="5"/>
        <v>52.4</v>
      </c>
    </row>
    <row r="118" spans="1:9" x14ac:dyDescent="0.3">
      <c r="A118" s="4">
        <v>117</v>
      </c>
      <c r="B118" s="5" t="s">
        <v>26</v>
      </c>
      <c r="C118" s="5" t="s">
        <v>27</v>
      </c>
      <c r="D118" s="5" t="s">
        <v>53</v>
      </c>
      <c r="E118" s="5">
        <v>10</v>
      </c>
      <c r="F118" s="5">
        <v>219</v>
      </c>
      <c r="G118" s="6">
        <v>133</v>
      </c>
      <c r="H118" s="18">
        <f t="shared" si="3"/>
        <v>13.3</v>
      </c>
      <c r="I118" s="5">
        <f t="shared" si="5"/>
        <v>21.9</v>
      </c>
    </row>
    <row r="119" spans="1:9" x14ac:dyDescent="0.3">
      <c r="A119" s="4">
        <v>118</v>
      </c>
      <c r="B119" s="5" t="s">
        <v>49</v>
      </c>
      <c r="C119" s="5" t="s">
        <v>8</v>
      </c>
      <c r="D119" s="5" t="s">
        <v>81</v>
      </c>
      <c r="E119" s="5">
        <v>17</v>
      </c>
      <c r="F119" s="5">
        <v>765</v>
      </c>
      <c r="G119" s="6">
        <v>466</v>
      </c>
      <c r="H119" s="18">
        <f t="shared" si="3"/>
        <v>27.411764705882351</v>
      </c>
      <c r="I119" s="5">
        <f t="shared" si="5"/>
        <v>45</v>
      </c>
    </row>
    <row r="120" spans="1:9" x14ac:dyDescent="0.3">
      <c r="A120" s="4">
        <v>119</v>
      </c>
      <c r="B120" s="5" t="s">
        <v>37</v>
      </c>
      <c r="C120" s="5" t="s">
        <v>27</v>
      </c>
      <c r="D120" s="5" t="s">
        <v>79</v>
      </c>
      <c r="E120" s="5">
        <v>12</v>
      </c>
      <c r="F120" s="5">
        <v>333</v>
      </c>
      <c r="G120" s="6">
        <v>203</v>
      </c>
      <c r="H120" s="18">
        <f t="shared" si="3"/>
        <v>16.916666666666668</v>
      </c>
      <c r="I120" s="5">
        <f t="shared" si="5"/>
        <v>27.75</v>
      </c>
    </row>
    <row r="121" spans="1:9" x14ac:dyDescent="0.3">
      <c r="A121" s="4">
        <v>120</v>
      </c>
      <c r="B121" s="5" t="s">
        <v>32</v>
      </c>
      <c r="C121" s="5" t="s">
        <v>8</v>
      </c>
      <c r="D121" s="5" t="s">
        <v>80</v>
      </c>
      <c r="E121" s="5">
        <v>15</v>
      </c>
      <c r="F121" s="5">
        <v>789</v>
      </c>
      <c r="G121" s="6">
        <v>480</v>
      </c>
      <c r="H121" s="18">
        <f t="shared" si="3"/>
        <v>32</v>
      </c>
      <c r="I121" s="5">
        <f t="shared" si="5"/>
        <v>52.6</v>
      </c>
    </row>
    <row r="122" spans="1:9" x14ac:dyDescent="0.3">
      <c r="A122" s="4">
        <v>121</v>
      </c>
      <c r="B122" s="5" t="s">
        <v>41</v>
      </c>
      <c r="C122" s="5" t="s">
        <v>21</v>
      </c>
      <c r="D122" s="5" t="s">
        <v>77</v>
      </c>
      <c r="E122" s="5">
        <v>9</v>
      </c>
      <c r="F122" s="5">
        <v>127</v>
      </c>
      <c r="G122" s="6">
        <v>77</v>
      </c>
      <c r="H122" s="18">
        <f t="shared" si="3"/>
        <v>8.5555555555555554</v>
      </c>
      <c r="I122" s="5">
        <f t="shared" si="5"/>
        <v>14.111111111111111</v>
      </c>
    </row>
    <row r="123" spans="1:9" x14ac:dyDescent="0.3">
      <c r="A123" s="4">
        <v>122</v>
      </c>
      <c r="B123" s="5" t="s">
        <v>45</v>
      </c>
      <c r="C123" s="5" t="s">
        <v>27</v>
      </c>
      <c r="D123" s="5" t="s">
        <v>76</v>
      </c>
      <c r="E123" s="5">
        <v>14</v>
      </c>
      <c r="F123" s="5">
        <v>655</v>
      </c>
      <c r="G123" s="6">
        <v>399</v>
      </c>
      <c r="H123" s="18">
        <f t="shared" si="3"/>
        <v>28.5</v>
      </c>
      <c r="I123" s="5">
        <f t="shared" si="5"/>
        <v>46.785714285714285</v>
      </c>
    </row>
    <row r="124" spans="1:9" x14ac:dyDescent="0.3">
      <c r="A124" s="7">
        <v>123</v>
      </c>
      <c r="B124" s="8" t="s">
        <v>54</v>
      </c>
      <c r="C124" s="8" t="s">
        <v>27</v>
      </c>
      <c r="D124" s="8" t="s">
        <v>68</v>
      </c>
      <c r="E124" s="8">
        <v>10</v>
      </c>
      <c r="F124" s="8">
        <v>225</v>
      </c>
      <c r="G124" s="9">
        <v>137</v>
      </c>
      <c r="H124" s="18">
        <f t="shared" si="3"/>
        <v>13.7</v>
      </c>
      <c r="I124" s="5">
        <f t="shared" si="5"/>
        <v>22.5</v>
      </c>
    </row>
    <row r="125" spans="1:9" x14ac:dyDescent="0.3">
      <c r="A125" s="4"/>
      <c r="B125" s="5"/>
      <c r="C125" s="5"/>
      <c r="D125" s="5"/>
      <c r="E125" s="5"/>
      <c r="F125" s="5"/>
      <c r="G125" s="6"/>
      <c r="H125" s="8"/>
      <c r="I125" s="8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80E-CC2B-4721-A567-10B877E79D9E}">
  <dimension ref="A2:B31"/>
  <sheetViews>
    <sheetView topLeftCell="A7" workbookViewId="0">
      <selection activeCell="C24" sqref="C24"/>
    </sheetView>
  </sheetViews>
  <sheetFormatPr defaultRowHeight="14.4" x14ac:dyDescent="0.3"/>
  <cols>
    <col min="2" max="2" width="63.21875" bestFit="1" customWidth="1"/>
  </cols>
  <sheetData>
    <row r="2" spans="2:2" x14ac:dyDescent="0.3">
      <c r="B2" s="10" t="s">
        <v>101</v>
      </c>
    </row>
    <row r="3" spans="2:2" x14ac:dyDescent="0.3">
      <c r="B3" s="11"/>
    </row>
    <row r="4" spans="2:2" x14ac:dyDescent="0.3">
      <c r="B4" s="12" t="s">
        <v>102</v>
      </c>
    </row>
    <row r="5" spans="2:2" x14ac:dyDescent="0.3">
      <c r="B5" s="11"/>
    </row>
    <row r="6" spans="2:2" x14ac:dyDescent="0.3">
      <c r="B6" s="11" t="s">
        <v>103</v>
      </c>
    </row>
    <row r="7" spans="2:2" x14ac:dyDescent="0.3">
      <c r="B7" s="11"/>
    </row>
    <row r="8" spans="2:2" x14ac:dyDescent="0.3">
      <c r="B8" s="11" t="s">
        <v>104</v>
      </c>
    </row>
    <row r="9" spans="2:2" x14ac:dyDescent="0.3">
      <c r="B9" s="11"/>
    </row>
    <row r="10" spans="2:2" x14ac:dyDescent="0.3">
      <c r="B10" s="11" t="s">
        <v>105</v>
      </c>
    </row>
    <row r="11" spans="2:2" x14ac:dyDescent="0.3">
      <c r="B11" s="11"/>
    </row>
    <row r="12" spans="2:2" x14ac:dyDescent="0.3">
      <c r="B12" s="11" t="s">
        <v>106</v>
      </c>
    </row>
    <row r="13" spans="2:2" x14ac:dyDescent="0.3">
      <c r="B13" s="11"/>
    </row>
    <row r="14" spans="2:2" x14ac:dyDescent="0.3">
      <c r="B14" s="11" t="s">
        <v>107</v>
      </c>
    </row>
    <row r="15" spans="2:2" x14ac:dyDescent="0.3">
      <c r="B15" s="11"/>
    </row>
    <row r="16" spans="2:2" x14ac:dyDescent="0.3">
      <c r="B16" s="11" t="s">
        <v>108</v>
      </c>
    </row>
    <row r="17" spans="1:2" x14ac:dyDescent="0.3">
      <c r="B17" s="11"/>
    </row>
    <row r="18" spans="1:2" x14ac:dyDescent="0.3">
      <c r="B18" s="11" t="s">
        <v>109</v>
      </c>
    </row>
    <row r="20" spans="1:2" x14ac:dyDescent="0.3">
      <c r="A20" s="13">
        <v>11</v>
      </c>
      <c r="B20" s="14" t="s">
        <v>110</v>
      </c>
    </row>
    <row r="21" spans="1:2" x14ac:dyDescent="0.3">
      <c r="A21" s="13">
        <v>12</v>
      </c>
      <c r="B21" s="14" t="s">
        <v>111</v>
      </c>
    </row>
    <row r="22" spans="1:2" x14ac:dyDescent="0.3">
      <c r="A22" s="13">
        <v>13</v>
      </c>
      <c r="B22" s="14" t="s">
        <v>112</v>
      </c>
    </row>
    <row r="23" spans="1:2" x14ac:dyDescent="0.3">
      <c r="A23" s="13">
        <v>14</v>
      </c>
      <c r="B23" s="14" t="s">
        <v>113</v>
      </c>
    </row>
    <row r="24" spans="1:2" x14ac:dyDescent="0.3">
      <c r="A24" s="13">
        <v>15</v>
      </c>
      <c r="B24" s="14" t="s">
        <v>114</v>
      </c>
    </row>
    <row r="25" spans="1:2" x14ac:dyDescent="0.3">
      <c r="A25" s="13">
        <v>16</v>
      </c>
      <c r="B25" s="14" t="s">
        <v>115</v>
      </c>
    </row>
    <row r="26" spans="1:2" x14ac:dyDescent="0.3">
      <c r="A26" s="13">
        <v>17</v>
      </c>
      <c r="B26" s="14" t="s">
        <v>116</v>
      </c>
    </row>
    <row r="27" spans="1:2" x14ac:dyDescent="0.3">
      <c r="A27" s="13">
        <v>18</v>
      </c>
      <c r="B27" s="14" t="s">
        <v>117</v>
      </c>
    </row>
    <row r="28" spans="1:2" x14ac:dyDescent="0.3">
      <c r="A28" s="13">
        <v>19</v>
      </c>
      <c r="B28" s="14" t="s">
        <v>118</v>
      </c>
    </row>
    <row r="29" spans="1:2" x14ac:dyDescent="0.3">
      <c r="A29" s="13">
        <v>20</v>
      </c>
      <c r="B29" s="14" t="s">
        <v>119</v>
      </c>
    </row>
    <row r="30" spans="1:2" x14ac:dyDescent="0.3">
      <c r="A30" s="13">
        <v>21</v>
      </c>
      <c r="B30" s="14" t="s">
        <v>120</v>
      </c>
    </row>
    <row r="31" spans="1:2" x14ac:dyDescent="0.3">
      <c r="A31" s="13">
        <v>22</v>
      </c>
      <c r="B31" s="14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E203-A316-4467-8583-2D5B98C33EEE}">
  <dimension ref="B2:C103"/>
  <sheetViews>
    <sheetView topLeftCell="A79" workbookViewId="0">
      <selection activeCell="F96" sqref="F96"/>
    </sheetView>
  </sheetViews>
  <sheetFormatPr defaultRowHeight="14.4" x14ac:dyDescent="0.3"/>
  <cols>
    <col min="2" max="2" width="12.5546875" bestFit="1" customWidth="1"/>
    <col min="3" max="3" width="11.77734375" bestFit="1" customWidth="1"/>
    <col min="4" max="4" width="5.88671875" bestFit="1" customWidth="1"/>
    <col min="5" max="5" width="6" bestFit="1" customWidth="1"/>
    <col min="6" max="6" width="5.21875" bestFit="1" customWidth="1"/>
    <col min="7" max="7" width="10.77734375" bestFit="1" customWidth="1"/>
  </cols>
  <sheetData>
    <row r="2" spans="2:3" x14ac:dyDescent="0.3">
      <c r="B2" s="10" t="s">
        <v>101</v>
      </c>
    </row>
    <row r="5" spans="2:3" x14ac:dyDescent="0.3">
      <c r="B5" s="15" t="s">
        <v>125</v>
      </c>
      <c r="C5" t="s">
        <v>124</v>
      </c>
    </row>
    <row r="6" spans="2:3" x14ac:dyDescent="0.3">
      <c r="B6" s="17" t="s">
        <v>27</v>
      </c>
      <c r="C6" s="16">
        <v>530</v>
      </c>
    </row>
    <row r="7" spans="2:3" x14ac:dyDescent="0.3">
      <c r="B7" s="17" t="s">
        <v>15</v>
      </c>
      <c r="C7" s="16">
        <v>294</v>
      </c>
    </row>
    <row r="8" spans="2:3" x14ac:dyDescent="0.3">
      <c r="B8" s="17" t="s">
        <v>8</v>
      </c>
      <c r="C8" s="16">
        <v>469</v>
      </c>
    </row>
    <row r="9" spans="2:3" x14ac:dyDescent="0.3">
      <c r="B9" s="17" t="s">
        <v>21</v>
      </c>
      <c r="C9" s="16">
        <v>482</v>
      </c>
    </row>
    <row r="10" spans="2:3" x14ac:dyDescent="0.3">
      <c r="B10" s="17" t="s">
        <v>123</v>
      </c>
      <c r="C10" s="16">
        <v>1775</v>
      </c>
    </row>
    <row r="12" spans="2:3" x14ac:dyDescent="0.3">
      <c r="B12" s="12" t="s">
        <v>102</v>
      </c>
    </row>
    <row r="13" spans="2:3" x14ac:dyDescent="0.3">
      <c r="B13" s="15" t="s">
        <v>1</v>
      </c>
      <c r="C13" t="s">
        <v>41</v>
      </c>
    </row>
    <row r="15" spans="2:3" x14ac:dyDescent="0.3">
      <c r="B15" t="s">
        <v>127</v>
      </c>
    </row>
    <row r="16" spans="2:3" x14ac:dyDescent="0.3">
      <c r="B16" s="16">
        <v>429.27272727272725</v>
      </c>
    </row>
    <row r="20" spans="2:3" x14ac:dyDescent="0.3">
      <c r="B20" s="11" t="s">
        <v>103</v>
      </c>
    </row>
    <row r="23" spans="2:3" x14ac:dyDescent="0.3">
      <c r="B23" s="15" t="s">
        <v>125</v>
      </c>
      <c r="C23" t="s">
        <v>128</v>
      </c>
    </row>
    <row r="24" spans="2:3" x14ac:dyDescent="0.3">
      <c r="B24" s="17" t="s">
        <v>65</v>
      </c>
      <c r="C24" s="16">
        <v>1797</v>
      </c>
    </row>
    <row r="25" spans="2:3" x14ac:dyDescent="0.3">
      <c r="B25" s="17" t="s">
        <v>68</v>
      </c>
      <c r="C25" s="16">
        <v>1403</v>
      </c>
    </row>
    <row r="26" spans="2:3" x14ac:dyDescent="0.3">
      <c r="B26" s="17" t="s">
        <v>70</v>
      </c>
      <c r="C26" s="16">
        <v>1220</v>
      </c>
    </row>
    <row r="27" spans="2:3" x14ac:dyDescent="0.3">
      <c r="B27" s="17" t="s">
        <v>44</v>
      </c>
      <c r="C27" s="16">
        <v>1128</v>
      </c>
    </row>
    <row r="28" spans="2:3" x14ac:dyDescent="0.3">
      <c r="B28" s="17" t="s">
        <v>81</v>
      </c>
      <c r="C28" s="16">
        <v>1068</v>
      </c>
    </row>
    <row r="29" spans="2:3" x14ac:dyDescent="0.3">
      <c r="B29" s="17" t="s">
        <v>11</v>
      </c>
      <c r="C29" s="16">
        <v>1001</v>
      </c>
    </row>
    <row r="30" spans="2:3" x14ac:dyDescent="0.3">
      <c r="B30" s="17" t="s">
        <v>80</v>
      </c>
      <c r="C30" s="16">
        <v>955</v>
      </c>
    </row>
    <row r="31" spans="2:3" x14ac:dyDescent="0.3">
      <c r="B31" s="17" t="s">
        <v>67</v>
      </c>
      <c r="C31" s="16">
        <v>933</v>
      </c>
    </row>
    <row r="32" spans="2:3" x14ac:dyDescent="0.3">
      <c r="B32" s="17" t="s">
        <v>72</v>
      </c>
      <c r="C32" s="16">
        <v>874</v>
      </c>
    </row>
    <row r="33" spans="2:3" x14ac:dyDescent="0.3">
      <c r="B33" s="17" t="s">
        <v>50</v>
      </c>
      <c r="C33" s="16">
        <v>872</v>
      </c>
    </row>
    <row r="34" spans="2:3" x14ac:dyDescent="0.3">
      <c r="B34" s="17" t="s">
        <v>60</v>
      </c>
      <c r="C34" s="16">
        <v>860</v>
      </c>
    </row>
    <row r="35" spans="2:3" x14ac:dyDescent="0.3">
      <c r="B35" s="17" t="s">
        <v>69</v>
      </c>
      <c r="C35" s="16">
        <v>832</v>
      </c>
    </row>
    <row r="36" spans="2:3" x14ac:dyDescent="0.3">
      <c r="B36" s="17" t="s">
        <v>56</v>
      </c>
      <c r="C36" s="16">
        <v>817</v>
      </c>
    </row>
    <row r="37" spans="2:3" x14ac:dyDescent="0.3">
      <c r="B37" s="17" t="s">
        <v>76</v>
      </c>
      <c r="C37" s="16">
        <v>805</v>
      </c>
    </row>
    <row r="38" spans="2:3" x14ac:dyDescent="0.3">
      <c r="B38" s="17" t="s">
        <v>55</v>
      </c>
      <c r="C38" s="16">
        <v>772</v>
      </c>
    </row>
    <row r="39" spans="2:3" x14ac:dyDescent="0.3">
      <c r="B39" s="17" t="s">
        <v>52</v>
      </c>
      <c r="C39" s="16">
        <v>689</v>
      </c>
    </row>
    <row r="40" spans="2:3" x14ac:dyDescent="0.3">
      <c r="B40" s="17" t="s">
        <v>39</v>
      </c>
      <c r="C40" s="16">
        <v>645</v>
      </c>
    </row>
    <row r="41" spans="2:3" x14ac:dyDescent="0.3">
      <c r="B41" s="17" t="s">
        <v>79</v>
      </c>
      <c r="C41" s="16">
        <v>639</v>
      </c>
    </row>
    <row r="42" spans="2:3" x14ac:dyDescent="0.3">
      <c r="B42" s="17" t="s">
        <v>61</v>
      </c>
      <c r="C42" s="16">
        <v>591</v>
      </c>
    </row>
    <row r="43" spans="2:3" x14ac:dyDescent="0.3">
      <c r="B43" s="17" t="s">
        <v>58</v>
      </c>
      <c r="C43" s="16">
        <v>574</v>
      </c>
    </row>
    <row r="44" spans="2:3" x14ac:dyDescent="0.3">
      <c r="B44" s="17" t="s">
        <v>24</v>
      </c>
      <c r="C44" s="16">
        <v>556</v>
      </c>
    </row>
    <row r="45" spans="2:3" x14ac:dyDescent="0.3">
      <c r="B45" s="17" t="s">
        <v>62</v>
      </c>
      <c r="C45" s="16">
        <v>543</v>
      </c>
    </row>
    <row r="46" spans="2:3" x14ac:dyDescent="0.3">
      <c r="B46" s="17" t="s">
        <v>99</v>
      </c>
      <c r="C46" s="16">
        <v>527</v>
      </c>
    </row>
    <row r="47" spans="2:3" x14ac:dyDescent="0.3">
      <c r="B47" s="17" t="s">
        <v>23</v>
      </c>
      <c r="C47" s="16">
        <v>512</v>
      </c>
    </row>
    <row r="48" spans="2:3" x14ac:dyDescent="0.3">
      <c r="B48" s="17" t="s">
        <v>83</v>
      </c>
      <c r="C48" s="16">
        <v>487</v>
      </c>
    </row>
    <row r="49" spans="2:3" x14ac:dyDescent="0.3">
      <c r="B49" s="17" t="s">
        <v>93</v>
      </c>
      <c r="C49" s="16">
        <v>480</v>
      </c>
    </row>
    <row r="50" spans="2:3" x14ac:dyDescent="0.3">
      <c r="B50" s="17" t="s">
        <v>98</v>
      </c>
      <c r="C50" s="16">
        <v>480</v>
      </c>
    </row>
    <row r="51" spans="2:3" x14ac:dyDescent="0.3">
      <c r="B51" s="17" t="s">
        <v>100</v>
      </c>
      <c r="C51" s="16">
        <v>479</v>
      </c>
    </row>
    <row r="52" spans="2:3" x14ac:dyDescent="0.3">
      <c r="B52" s="17" t="s">
        <v>88</v>
      </c>
      <c r="C52" s="16">
        <v>475</v>
      </c>
    </row>
    <row r="53" spans="2:3" x14ac:dyDescent="0.3">
      <c r="B53" s="17" t="s">
        <v>74</v>
      </c>
      <c r="C53" s="16">
        <v>475</v>
      </c>
    </row>
    <row r="54" spans="2:3" x14ac:dyDescent="0.3">
      <c r="B54" s="17" t="s">
        <v>57</v>
      </c>
      <c r="C54" s="16">
        <v>468</v>
      </c>
    </row>
    <row r="55" spans="2:3" x14ac:dyDescent="0.3">
      <c r="B55" s="17" t="s">
        <v>64</v>
      </c>
      <c r="C55" s="16">
        <v>466</v>
      </c>
    </row>
    <row r="56" spans="2:3" x14ac:dyDescent="0.3">
      <c r="B56" s="17" t="s">
        <v>86</v>
      </c>
      <c r="C56" s="16">
        <v>464</v>
      </c>
    </row>
    <row r="57" spans="2:3" x14ac:dyDescent="0.3">
      <c r="B57" s="17" t="s">
        <v>34</v>
      </c>
      <c r="C57" s="16">
        <v>458</v>
      </c>
    </row>
    <row r="58" spans="2:3" x14ac:dyDescent="0.3">
      <c r="B58" s="17" t="s">
        <v>28</v>
      </c>
      <c r="C58" s="16">
        <v>458</v>
      </c>
    </row>
    <row r="59" spans="2:3" x14ac:dyDescent="0.3">
      <c r="B59" s="17" t="s">
        <v>10</v>
      </c>
      <c r="C59" s="16">
        <v>456</v>
      </c>
    </row>
    <row r="60" spans="2:3" x14ac:dyDescent="0.3">
      <c r="B60" s="17" t="s">
        <v>90</v>
      </c>
      <c r="C60" s="16">
        <v>441</v>
      </c>
    </row>
    <row r="61" spans="2:3" x14ac:dyDescent="0.3">
      <c r="B61" s="17" t="s">
        <v>82</v>
      </c>
      <c r="C61" s="16">
        <v>434</v>
      </c>
    </row>
    <row r="62" spans="2:3" x14ac:dyDescent="0.3">
      <c r="B62" s="17" t="s">
        <v>87</v>
      </c>
      <c r="C62" s="16">
        <v>426</v>
      </c>
    </row>
    <row r="63" spans="2:3" x14ac:dyDescent="0.3">
      <c r="B63" s="17" t="s">
        <v>42</v>
      </c>
      <c r="C63" s="16">
        <v>421</v>
      </c>
    </row>
    <row r="64" spans="2:3" x14ac:dyDescent="0.3">
      <c r="B64" s="17" t="s">
        <v>13</v>
      </c>
      <c r="C64" s="16">
        <v>412</v>
      </c>
    </row>
    <row r="65" spans="2:3" x14ac:dyDescent="0.3">
      <c r="B65" s="17" t="s">
        <v>9</v>
      </c>
      <c r="C65" s="16">
        <v>411</v>
      </c>
    </row>
    <row r="66" spans="2:3" x14ac:dyDescent="0.3">
      <c r="B66" s="17" t="s">
        <v>43</v>
      </c>
      <c r="C66" s="16">
        <v>408</v>
      </c>
    </row>
    <row r="67" spans="2:3" x14ac:dyDescent="0.3">
      <c r="B67" s="17" t="s">
        <v>66</v>
      </c>
      <c r="C67" s="16">
        <v>400</v>
      </c>
    </row>
    <row r="68" spans="2:3" x14ac:dyDescent="0.3">
      <c r="B68" s="17" t="s">
        <v>97</v>
      </c>
      <c r="C68" s="16">
        <v>399</v>
      </c>
    </row>
    <row r="69" spans="2:3" x14ac:dyDescent="0.3">
      <c r="B69" s="17" t="s">
        <v>25</v>
      </c>
      <c r="C69" s="16">
        <v>398</v>
      </c>
    </row>
    <row r="70" spans="2:3" x14ac:dyDescent="0.3">
      <c r="B70" s="17" t="s">
        <v>73</v>
      </c>
      <c r="C70" s="16">
        <v>396</v>
      </c>
    </row>
    <row r="71" spans="2:3" x14ac:dyDescent="0.3">
      <c r="B71" s="17" t="s">
        <v>63</v>
      </c>
      <c r="C71" s="16">
        <v>393</v>
      </c>
    </row>
    <row r="72" spans="2:3" x14ac:dyDescent="0.3">
      <c r="B72" s="17" t="s">
        <v>47</v>
      </c>
      <c r="C72" s="16">
        <v>339</v>
      </c>
    </row>
    <row r="73" spans="2:3" x14ac:dyDescent="0.3">
      <c r="B73" s="17" t="s">
        <v>51</v>
      </c>
      <c r="C73" s="16">
        <v>338</v>
      </c>
    </row>
    <row r="74" spans="2:3" x14ac:dyDescent="0.3">
      <c r="B74" s="17" t="s">
        <v>31</v>
      </c>
      <c r="C74" s="16">
        <v>319</v>
      </c>
    </row>
    <row r="75" spans="2:3" x14ac:dyDescent="0.3">
      <c r="B75" s="17" t="s">
        <v>29</v>
      </c>
      <c r="C75" s="16">
        <v>293</v>
      </c>
    </row>
    <row r="76" spans="2:3" x14ac:dyDescent="0.3">
      <c r="B76" s="17" t="s">
        <v>84</v>
      </c>
      <c r="C76" s="16">
        <v>292</v>
      </c>
    </row>
    <row r="77" spans="2:3" x14ac:dyDescent="0.3">
      <c r="B77" s="17" t="s">
        <v>17</v>
      </c>
      <c r="C77" s="16">
        <v>286</v>
      </c>
    </row>
    <row r="78" spans="2:3" x14ac:dyDescent="0.3">
      <c r="B78" s="17" t="s">
        <v>91</v>
      </c>
      <c r="C78" s="16">
        <v>285</v>
      </c>
    </row>
    <row r="79" spans="2:3" x14ac:dyDescent="0.3">
      <c r="B79" s="17" t="s">
        <v>36</v>
      </c>
      <c r="C79" s="16">
        <v>279</v>
      </c>
    </row>
    <row r="80" spans="2:3" x14ac:dyDescent="0.3">
      <c r="B80" s="17" t="s">
        <v>85</v>
      </c>
      <c r="C80" s="16">
        <v>276</v>
      </c>
    </row>
    <row r="81" spans="2:3" x14ac:dyDescent="0.3">
      <c r="B81" s="17" t="s">
        <v>48</v>
      </c>
      <c r="C81" s="16">
        <v>263</v>
      </c>
    </row>
    <row r="82" spans="2:3" x14ac:dyDescent="0.3">
      <c r="B82" s="17" t="s">
        <v>96</v>
      </c>
      <c r="C82" s="16">
        <v>263</v>
      </c>
    </row>
    <row r="83" spans="2:3" x14ac:dyDescent="0.3">
      <c r="B83" s="17" t="s">
        <v>53</v>
      </c>
      <c r="C83" s="16">
        <v>262</v>
      </c>
    </row>
    <row r="84" spans="2:3" x14ac:dyDescent="0.3">
      <c r="B84" s="17" t="s">
        <v>30</v>
      </c>
      <c r="C84" s="16">
        <v>224</v>
      </c>
    </row>
    <row r="85" spans="2:3" x14ac:dyDescent="0.3">
      <c r="B85" s="17" t="s">
        <v>92</v>
      </c>
      <c r="C85" s="16">
        <v>223</v>
      </c>
    </row>
    <row r="86" spans="2:3" x14ac:dyDescent="0.3">
      <c r="B86" s="17" t="s">
        <v>77</v>
      </c>
      <c r="C86" s="16">
        <v>219</v>
      </c>
    </row>
    <row r="87" spans="2:3" x14ac:dyDescent="0.3">
      <c r="B87" s="17" t="s">
        <v>78</v>
      </c>
      <c r="C87" s="16">
        <v>217</v>
      </c>
    </row>
    <row r="88" spans="2:3" x14ac:dyDescent="0.3">
      <c r="B88" s="17" t="s">
        <v>18</v>
      </c>
      <c r="C88" s="16">
        <v>215</v>
      </c>
    </row>
    <row r="89" spans="2:3" x14ac:dyDescent="0.3">
      <c r="B89" s="17" t="s">
        <v>12</v>
      </c>
      <c r="C89" s="16">
        <v>210</v>
      </c>
    </row>
    <row r="90" spans="2:3" x14ac:dyDescent="0.3">
      <c r="B90" s="17" t="s">
        <v>40</v>
      </c>
      <c r="C90" s="16">
        <v>204</v>
      </c>
    </row>
    <row r="91" spans="2:3" x14ac:dyDescent="0.3">
      <c r="B91" s="17" t="s">
        <v>95</v>
      </c>
      <c r="C91" s="16">
        <v>199</v>
      </c>
    </row>
    <row r="92" spans="2:3" x14ac:dyDescent="0.3">
      <c r="B92" s="17" t="s">
        <v>35</v>
      </c>
      <c r="C92" s="16">
        <v>190</v>
      </c>
    </row>
    <row r="93" spans="2:3" x14ac:dyDescent="0.3">
      <c r="B93" s="17" t="s">
        <v>22</v>
      </c>
      <c r="C93" s="16">
        <v>167</v>
      </c>
    </row>
    <row r="94" spans="2:3" x14ac:dyDescent="0.3">
      <c r="B94" s="17" t="s">
        <v>89</v>
      </c>
      <c r="C94" s="16">
        <v>142</v>
      </c>
    </row>
    <row r="95" spans="2:3" x14ac:dyDescent="0.3">
      <c r="B95" s="17" t="s">
        <v>38</v>
      </c>
      <c r="C95" s="16">
        <v>137</v>
      </c>
    </row>
    <row r="96" spans="2:3" x14ac:dyDescent="0.3">
      <c r="B96" s="17" t="s">
        <v>33</v>
      </c>
      <c r="C96" s="16">
        <v>130</v>
      </c>
    </row>
    <row r="97" spans="2:3" x14ac:dyDescent="0.3">
      <c r="B97" s="17" t="s">
        <v>94</v>
      </c>
      <c r="C97" s="16">
        <v>117</v>
      </c>
    </row>
    <row r="98" spans="2:3" x14ac:dyDescent="0.3">
      <c r="B98" s="17" t="s">
        <v>19</v>
      </c>
      <c r="C98" s="16">
        <v>114</v>
      </c>
    </row>
    <row r="99" spans="2:3" x14ac:dyDescent="0.3">
      <c r="B99" s="17" t="s">
        <v>46</v>
      </c>
      <c r="C99" s="16">
        <v>107</v>
      </c>
    </row>
    <row r="100" spans="2:3" x14ac:dyDescent="0.3">
      <c r="B100" s="17" t="s">
        <v>75</v>
      </c>
      <c r="C100" s="16">
        <v>88</v>
      </c>
    </row>
    <row r="101" spans="2:3" x14ac:dyDescent="0.3">
      <c r="B101" s="17" t="s">
        <v>16</v>
      </c>
      <c r="C101" s="16">
        <v>78</v>
      </c>
    </row>
    <row r="102" spans="2:3" x14ac:dyDescent="0.3">
      <c r="B102" s="17" t="s">
        <v>71</v>
      </c>
      <c r="C102" s="16">
        <v>78</v>
      </c>
    </row>
    <row r="103" spans="2:3" x14ac:dyDescent="0.3">
      <c r="B103" s="17" t="s">
        <v>123</v>
      </c>
      <c r="C103" s="16">
        <v>37752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3C-0054-47C1-B029-E16D0E195E5B}">
  <dimension ref="B3:AA103"/>
  <sheetViews>
    <sheetView workbookViewId="0">
      <selection activeCell="E20" sqref="E20"/>
    </sheetView>
  </sheetViews>
  <sheetFormatPr defaultRowHeight="14.4" x14ac:dyDescent="0.3"/>
  <cols>
    <col min="2" max="2" width="12.5546875" bestFit="1" customWidth="1"/>
    <col min="3" max="3" width="11.6640625" bestFit="1" customWidth="1"/>
    <col min="9" max="9" width="12.5546875" bestFit="1" customWidth="1"/>
    <col min="10" max="10" width="15" bestFit="1" customWidth="1"/>
    <col min="15" max="15" width="12.5546875" bestFit="1" customWidth="1"/>
    <col min="16" max="16" width="15.5546875" bestFit="1" customWidth="1"/>
    <col min="17" max="17" width="6.109375" bestFit="1" customWidth="1"/>
    <col min="18" max="18" width="8" bestFit="1" customWidth="1"/>
    <col min="19" max="19" width="10" bestFit="1" customWidth="1"/>
    <col min="20" max="20" width="8.6640625" bestFit="1" customWidth="1"/>
    <col min="21" max="21" width="7.109375" bestFit="1" customWidth="1"/>
    <col min="22" max="22" width="11.33203125" bestFit="1" customWidth="1"/>
    <col min="23" max="23" width="11.44140625" bestFit="1" customWidth="1"/>
    <col min="24" max="24" width="7.6640625" bestFit="1" customWidth="1"/>
    <col min="25" max="25" width="6.33203125" bestFit="1" customWidth="1"/>
    <col min="26" max="26" width="5" bestFit="1" customWidth="1"/>
    <col min="27" max="28" width="10.77734375" bestFit="1" customWidth="1"/>
  </cols>
  <sheetData>
    <row r="3" spans="2:27" x14ac:dyDescent="0.3">
      <c r="B3" s="11" t="s">
        <v>104</v>
      </c>
    </row>
    <row r="7" spans="2:27" x14ac:dyDescent="0.3">
      <c r="B7" s="15" t="s">
        <v>125</v>
      </c>
      <c r="C7" t="s">
        <v>126</v>
      </c>
    </row>
    <row r="8" spans="2:27" x14ac:dyDescent="0.3">
      <c r="B8" s="17" t="s">
        <v>14</v>
      </c>
      <c r="C8" s="16">
        <v>4893</v>
      </c>
    </row>
    <row r="9" spans="2:27" x14ac:dyDescent="0.3">
      <c r="B9" s="17" t="s">
        <v>123</v>
      </c>
      <c r="C9" s="16">
        <v>4893</v>
      </c>
      <c r="I9" s="11" t="s">
        <v>106</v>
      </c>
      <c r="O9" s="11" t="s">
        <v>107</v>
      </c>
    </row>
    <row r="11" spans="2:27" x14ac:dyDescent="0.3">
      <c r="I11" s="15" t="s">
        <v>125</v>
      </c>
      <c r="J11" t="s">
        <v>130</v>
      </c>
      <c r="O11" s="15" t="s">
        <v>126</v>
      </c>
      <c r="P11" s="15" t="s">
        <v>122</v>
      </c>
    </row>
    <row r="12" spans="2:27" x14ac:dyDescent="0.3">
      <c r="B12" s="11" t="s">
        <v>105</v>
      </c>
      <c r="I12" s="17" t="s">
        <v>41</v>
      </c>
      <c r="J12" s="16">
        <v>13.545454545454545</v>
      </c>
      <c r="O12" s="15" t="s">
        <v>125</v>
      </c>
      <c r="P12" t="s">
        <v>41</v>
      </c>
      <c r="Q12" t="s">
        <v>49</v>
      </c>
      <c r="R12" t="s">
        <v>26</v>
      </c>
      <c r="S12" t="s">
        <v>14</v>
      </c>
      <c r="T12" t="s">
        <v>20</v>
      </c>
      <c r="U12" t="s">
        <v>59</v>
      </c>
      <c r="V12" t="s">
        <v>37</v>
      </c>
      <c r="W12" t="s">
        <v>32</v>
      </c>
      <c r="X12" t="s">
        <v>7</v>
      </c>
      <c r="Y12" t="s">
        <v>54</v>
      </c>
      <c r="Z12" t="s">
        <v>45</v>
      </c>
      <c r="AA12" t="s">
        <v>123</v>
      </c>
    </row>
    <row r="13" spans="2:27" x14ac:dyDescent="0.3">
      <c r="I13" s="17" t="s">
        <v>49</v>
      </c>
      <c r="J13" s="16">
        <v>16.583333333333332</v>
      </c>
      <c r="O13" s="17" t="s">
        <v>27</v>
      </c>
      <c r="P13" s="16">
        <v>777</v>
      </c>
      <c r="Q13" s="16">
        <v>1453</v>
      </c>
      <c r="R13" s="16">
        <v>3289</v>
      </c>
      <c r="S13" s="16">
        <v>187</v>
      </c>
      <c r="T13" s="16">
        <v>989</v>
      </c>
      <c r="U13" s="16">
        <v>1857</v>
      </c>
      <c r="V13" s="16">
        <v>3399</v>
      </c>
      <c r="W13" s="16">
        <v>1431</v>
      </c>
      <c r="X13" s="16"/>
      <c r="Y13" s="16">
        <v>2923</v>
      </c>
      <c r="Z13" s="16">
        <v>2868</v>
      </c>
      <c r="AA13" s="16">
        <v>19173</v>
      </c>
    </row>
    <row r="14" spans="2:27" x14ac:dyDescent="0.3">
      <c r="I14" s="17" t="s">
        <v>26</v>
      </c>
      <c r="J14" s="16">
        <v>13.25</v>
      </c>
      <c r="O14" s="17" t="s">
        <v>15</v>
      </c>
      <c r="P14" s="16">
        <v>356</v>
      </c>
      <c r="Q14" s="16">
        <v>199</v>
      </c>
      <c r="R14" s="16"/>
      <c r="S14" s="16">
        <v>1527</v>
      </c>
      <c r="T14" s="16">
        <v>864</v>
      </c>
      <c r="U14" s="16">
        <v>2788</v>
      </c>
      <c r="V14" s="16">
        <v>1001</v>
      </c>
      <c r="W14" s="16">
        <v>1664</v>
      </c>
      <c r="X14" s="16"/>
      <c r="Y14" s="16"/>
      <c r="Z14" s="16">
        <v>288</v>
      </c>
      <c r="AA14" s="16">
        <v>8687</v>
      </c>
    </row>
    <row r="15" spans="2:27" x14ac:dyDescent="0.3">
      <c r="B15" s="15" t="s">
        <v>125</v>
      </c>
      <c r="C15" t="s">
        <v>129</v>
      </c>
      <c r="I15" s="17" t="s">
        <v>14</v>
      </c>
      <c r="J15" s="16">
        <v>13.25</v>
      </c>
      <c r="O15" s="17" t="s">
        <v>8</v>
      </c>
      <c r="P15" s="16">
        <v>1166</v>
      </c>
      <c r="Q15" s="16">
        <v>5666</v>
      </c>
      <c r="R15" s="16">
        <v>127</v>
      </c>
      <c r="S15" s="16">
        <v>541</v>
      </c>
      <c r="T15" s="16">
        <v>2961</v>
      </c>
      <c r="U15" s="16"/>
      <c r="V15" s="16">
        <v>699</v>
      </c>
      <c r="W15" s="16">
        <v>2259</v>
      </c>
      <c r="X15" s="16">
        <v>2992</v>
      </c>
      <c r="Y15" s="16">
        <v>355</v>
      </c>
      <c r="Z15" s="16">
        <v>186</v>
      </c>
      <c r="AA15" s="16">
        <v>16952</v>
      </c>
    </row>
    <row r="16" spans="2:27" x14ac:dyDescent="0.3">
      <c r="B16" s="17" t="s">
        <v>41</v>
      </c>
      <c r="C16" s="16">
        <v>11</v>
      </c>
      <c r="I16" s="17" t="s">
        <v>20</v>
      </c>
      <c r="J16" s="16">
        <v>17.666666666666668</v>
      </c>
      <c r="O16" s="17" t="s">
        <v>21</v>
      </c>
      <c r="P16" s="16">
        <v>2423</v>
      </c>
      <c r="Q16" s="16">
        <v>712</v>
      </c>
      <c r="R16" s="16">
        <v>1952</v>
      </c>
      <c r="S16" s="16">
        <v>2638</v>
      </c>
      <c r="T16" s="16">
        <v>3397</v>
      </c>
      <c r="U16" s="16"/>
      <c r="V16" s="16">
        <v>223</v>
      </c>
      <c r="W16" s="16">
        <v>223</v>
      </c>
      <c r="X16" s="16"/>
      <c r="Y16" s="16">
        <v>3953</v>
      </c>
      <c r="Z16" s="16">
        <v>1704</v>
      </c>
      <c r="AA16" s="16">
        <v>17225</v>
      </c>
    </row>
    <row r="17" spans="2:27" x14ac:dyDescent="0.3">
      <c r="B17" s="17" t="s">
        <v>49</v>
      </c>
      <c r="C17" s="16">
        <v>12</v>
      </c>
      <c r="I17" s="17" t="s">
        <v>59</v>
      </c>
      <c r="J17" s="16">
        <v>13.833333333333334</v>
      </c>
      <c r="O17" s="17" t="s">
        <v>123</v>
      </c>
      <c r="P17" s="16">
        <v>4722</v>
      </c>
      <c r="Q17" s="16">
        <v>8030</v>
      </c>
      <c r="R17" s="16">
        <v>5368</v>
      </c>
      <c r="S17" s="16">
        <v>4893</v>
      </c>
      <c r="T17" s="16">
        <v>8211</v>
      </c>
      <c r="U17" s="16">
        <v>4645</v>
      </c>
      <c r="V17" s="16">
        <v>5322</v>
      </c>
      <c r="W17" s="16">
        <v>5577</v>
      </c>
      <c r="X17" s="16">
        <v>2992</v>
      </c>
      <c r="Y17" s="16">
        <v>7231</v>
      </c>
      <c r="Z17" s="16">
        <v>5046</v>
      </c>
      <c r="AA17" s="16">
        <v>62037</v>
      </c>
    </row>
    <row r="18" spans="2:27" x14ac:dyDescent="0.3">
      <c r="B18" s="17" t="s">
        <v>26</v>
      </c>
      <c r="C18" s="16">
        <v>12</v>
      </c>
      <c r="I18" s="17" t="s">
        <v>37</v>
      </c>
      <c r="J18" s="16">
        <v>12.909090909090908</v>
      </c>
    </row>
    <row r="19" spans="2:27" x14ac:dyDescent="0.3">
      <c r="B19" s="17" t="s">
        <v>14</v>
      </c>
      <c r="C19" s="16">
        <v>12</v>
      </c>
      <c r="I19" s="17" t="s">
        <v>32</v>
      </c>
      <c r="J19" s="16">
        <v>13.833333333333334</v>
      </c>
    </row>
    <row r="20" spans="2:27" x14ac:dyDescent="0.3">
      <c r="B20" s="17" t="s">
        <v>20</v>
      </c>
      <c r="C20" s="16">
        <v>12</v>
      </c>
      <c r="I20" s="17" t="s">
        <v>7</v>
      </c>
      <c r="J20" s="16">
        <v>16.600000000000001</v>
      </c>
    </row>
    <row r="21" spans="2:27" x14ac:dyDescent="0.3">
      <c r="B21" s="17" t="s">
        <v>59</v>
      </c>
      <c r="C21" s="16">
        <v>12</v>
      </c>
      <c r="I21" s="17" t="s">
        <v>54</v>
      </c>
      <c r="J21" s="16">
        <v>15.384615384615385</v>
      </c>
      <c r="O21" s="11" t="s">
        <v>108</v>
      </c>
      <c r="T21" s="11" t="s">
        <v>109</v>
      </c>
    </row>
    <row r="22" spans="2:27" x14ac:dyDescent="0.3">
      <c r="B22" s="17" t="s">
        <v>37</v>
      </c>
      <c r="C22" s="16">
        <v>11</v>
      </c>
      <c r="I22" s="17" t="s">
        <v>45</v>
      </c>
      <c r="J22" s="16">
        <v>12.727272727272727</v>
      </c>
    </row>
    <row r="23" spans="2:27" x14ac:dyDescent="0.3">
      <c r="B23" s="17" t="s">
        <v>32</v>
      </c>
      <c r="C23" s="16">
        <v>12</v>
      </c>
      <c r="I23" s="17" t="s">
        <v>123</v>
      </c>
      <c r="J23" s="16">
        <v>14.43089430894309</v>
      </c>
      <c r="O23" s="15" t="s">
        <v>125</v>
      </c>
      <c r="P23" t="s">
        <v>126</v>
      </c>
      <c r="T23" s="15" t="s">
        <v>125</v>
      </c>
      <c r="U23" t="s">
        <v>132</v>
      </c>
    </row>
    <row r="24" spans="2:27" x14ac:dyDescent="0.3">
      <c r="B24" s="17" t="s">
        <v>7</v>
      </c>
      <c r="C24" s="16">
        <v>5</v>
      </c>
      <c r="O24" s="17" t="s">
        <v>65</v>
      </c>
      <c r="P24" s="16">
        <v>2944</v>
      </c>
      <c r="T24" s="17" t="s">
        <v>41</v>
      </c>
      <c r="U24" s="16">
        <v>18.654618916437098</v>
      </c>
    </row>
    <row r="25" spans="2:27" x14ac:dyDescent="0.3">
      <c r="B25" s="17" t="s">
        <v>54</v>
      </c>
      <c r="C25" s="16">
        <v>13</v>
      </c>
      <c r="O25" s="17" t="s">
        <v>68</v>
      </c>
      <c r="P25" s="16">
        <v>2301</v>
      </c>
      <c r="T25" s="17" t="s">
        <v>49</v>
      </c>
      <c r="U25" s="16">
        <v>23.889466619981331</v>
      </c>
    </row>
    <row r="26" spans="2:27" x14ac:dyDescent="0.3">
      <c r="B26" s="17" t="s">
        <v>45</v>
      </c>
      <c r="C26" s="16">
        <v>11</v>
      </c>
      <c r="O26" s="17" t="s">
        <v>70</v>
      </c>
      <c r="P26" s="16">
        <v>1998</v>
      </c>
      <c r="T26" s="17" t="s">
        <v>26</v>
      </c>
      <c r="U26" s="16">
        <v>18.667056756826579</v>
      </c>
    </row>
    <row r="27" spans="2:27" x14ac:dyDescent="0.3">
      <c r="B27" s="17" t="s">
        <v>123</v>
      </c>
      <c r="C27" s="16">
        <v>123</v>
      </c>
      <c r="O27" s="17" t="s">
        <v>44</v>
      </c>
      <c r="P27" s="16">
        <v>1848</v>
      </c>
      <c r="T27" s="17" t="s">
        <v>14</v>
      </c>
      <c r="U27" s="16">
        <v>18.739565137591452</v>
      </c>
    </row>
    <row r="28" spans="2:27" x14ac:dyDescent="0.3">
      <c r="O28" s="17" t="s">
        <v>81</v>
      </c>
      <c r="P28" s="16">
        <v>1753</v>
      </c>
      <c r="T28" s="17" t="s">
        <v>20</v>
      </c>
      <c r="U28" s="16">
        <v>23.848509549660864</v>
      </c>
    </row>
    <row r="29" spans="2:27" x14ac:dyDescent="0.3">
      <c r="O29" s="17" t="s">
        <v>11</v>
      </c>
      <c r="P29" s="16">
        <v>1643</v>
      </c>
      <c r="T29" s="17" t="s">
        <v>59</v>
      </c>
      <c r="U29" s="16">
        <v>16.993627230469336</v>
      </c>
    </row>
    <row r="30" spans="2:27" x14ac:dyDescent="0.3">
      <c r="O30" s="17" t="s">
        <v>80</v>
      </c>
      <c r="P30" s="16">
        <v>1566</v>
      </c>
      <c r="T30" s="17" t="s">
        <v>37</v>
      </c>
      <c r="U30" s="16">
        <v>20.841018955791682</v>
      </c>
    </row>
    <row r="31" spans="2:27" x14ac:dyDescent="0.3">
      <c r="O31" s="17" t="s">
        <v>67</v>
      </c>
      <c r="P31" s="16">
        <v>1531</v>
      </c>
      <c r="T31" s="17" t="s">
        <v>32</v>
      </c>
      <c r="U31" s="16">
        <v>19.893187276904381</v>
      </c>
    </row>
    <row r="32" spans="2:27" x14ac:dyDescent="0.3">
      <c r="O32" s="17" t="s">
        <v>72</v>
      </c>
      <c r="P32" s="16">
        <v>1435</v>
      </c>
      <c r="T32" s="17" t="s">
        <v>7</v>
      </c>
      <c r="U32" s="16">
        <v>21.412222222222223</v>
      </c>
    </row>
    <row r="33" spans="15:21" x14ac:dyDescent="0.3">
      <c r="O33" s="17" t="s">
        <v>50</v>
      </c>
      <c r="P33" s="16">
        <v>1431</v>
      </c>
      <c r="T33" s="17" t="s">
        <v>54</v>
      </c>
      <c r="U33" s="16">
        <v>21.23763756882952</v>
      </c>
    </row>
    <row r="34" spans="15:21" x14ac:dyDescent="0.3">
      <c r="O34" s="17" t="s">
        <v>60</v>
      </c>
      <c r="P34" s="16">
        <v>1408</v>
      </c>
      <c r="T34" s="17" t="s">
        <v>45</v>
      </c>
      <c r="U34" s="16">
        <v>21.103583916083917</v>
      </c>
    </row>
    <row r="35" spans="15:21" x14ac:dyDescent="0.3">
      <c r="O35" s="17" t="s">
        <v>69</v>
      </c>
      <c r="P35" s="16">
        <v>1363</v>
      </c>
      <c r="T35" s="17" t="s">
        <v>123</v>
      </c>
      <c r="U35" s="16">
        <v>20.439990162882445</v>
      </c>
    </row>
    <row r="36" spans="15:21" x14ac:dyDescent="0.3">
      <c r="O36" s="17" t="s">
        <v>56</v>
      </c>
      <c r="P36" s="16">
        <v>1341</v>
      </c>
    </row>
    <row r="37" spans="15:21" x14ac:dyDescent="0.3">
      <c r="O37" s="17" t="s">
        <v>76</v>
      </c>
      <c r="P37" s="16">
        <v>1320</v>
      </c>
    </row>
    <row r="38" spans="15:21" x14ac:dyDescent="0.3">
      <c r="O38" s="17" t="s">
        <v>55</v>
      </c>
      <c r="P38" s="16">
        <v>1264</v>
      </c>
    </row>
    <row r="39" spans="15:21" x14ac:dyDescent="0.3">
      <c r="O39" s="17" t="s">
        <v>52</v>
      </c>
      <c r="P39" s="16">
        <v>1132</v>
      </c>
    </row>
    <row r="40" spans="15:21" x14ac:dyDescent="0.3">
      <c r="O40" s="17" t="s">
        <v>39</v>
      </c>
      <c r="P40" s="16">
        <v>1056</v>
      </c>
    </row>
    <row r="41" spans="15:21" x14ac:dyDescent="0.3">
      <c r="O41" s="17" t="s">
        <v>79</v>
      </c>
      <c r="P41" s="16">
        <v>1048</v>
      </c>
    </row>
    <row r="42" spans="15:21" x14ac:dyDescent="0.3">
      <c r="O42" s="17" t="s">
        <v>61</v>
      </c>
      <c r="P42" s="16">
        <v>970</v>
      </c>
    </row>
    <row r="43" spans="15:21" x14ac:dyDescent="0.3">
      <c r="O43" s="17" t="s">
        <v>58</v>
      </c>
      <c r="P43" s="16">
        <v>941</v>
      </c>
    </row>
    <row r="44" spans="15:21" x14ac:dyDescent="0.3">
      <c r="O44" s="17" t="s">
        <v>24</v>
      </c>
      <c r="P44" s="16">
        <v>911</v>
      </c>
    </row>
    <row r="45" spans="15:21" x14ac:dyDescent="0.3">
      <c r="O45" s="17" t="s">
        <v>62</v>
      </c>
      <c r="P45" s="16">
        <v>891</v>
      </c>
    </row>
    <row r="46" spans="15:21" x14ac:dyDescent="0.3">
      <c r="O46" s="17" t="s">
        <v>99</v>
      </c>
      <c r="P46" s="16">
        <v>864</v>
      </c>
    </row>
    <row r="47" spans="15:21" x14ac:dyDescent="0.3">
      <c r="O47" s="17" t="s">
        <v>23</v>
      </c>
      <c r="P47" s="16">
        <v>837</v>
      </c>
    </row>
    <row r="48" spans="15:21" x14ac:dyDescent="0.3">
      <c r="O48" s="17" t="s">
        <v>83</v>
      </c>
      <c r="P48" s="16">
        <v>798</v>
      </c>
    </row>
    <row r="49" spans="15:16" x14ac:dyDescent="0.3">
      <c r="O49" s="17" t="s">
        <v>10</v>
      </c>
      <c r="P49" s="16">
        <v>792</v>
      </c>
    </row>
    <row r="50" spans="15:16" x14ac:dyDescent="0.3">
      <c r="O50" s="17" t="s">
        <v>93</v>
      </c>
      <c r="P50" s="16">
        <v>789</v>
      </c>
    </row>
    <row r="51" spans="15:16" x14ac:dyDescent="0.3">
      <c r="O51" s="17" t="s">
        <v>34</v>
      </c>
      <c r="P51" s="16">
        <v>789</v>
      </c>
    </row>
    <row r="52" spans="15:16" x14ac:dyDescent="0.3">
      <c r="O52" s="17" t="s">
        <v>28</v>
      </c>
      <c r="P52" s="16">
        <v>789</v>
      </c>
    </row>
    <row r="53" spans="15:16" x14ac:dyDescent="0.3">
      <c r="O53" s="17" t="s">
        <v>100</v>
      </c>
      <c r="P53" s="16">
        <v>786</v>
      </c>
    </row>
    <row r="54" spans="15:16" x14ac:dyDescent="0.3">
      <c r="O54" s="17" t="s">
        <v>98</v>
      </c>
      <c r="P54" s="16">
        <v>785</v>
      </c>
    </row>
    <row r="55" spans="15:16" x14ac:dyDescent="0.3">
      <c r="O55" s="17" t="s">
        <v>88</v>
      </c>
      <c r="P55" s="16">
        <v>777</v>
      </c>
    </row>
    <row r="56" spans="15:16" x14ac:dyDescent="0.3">
      <c r="O56" s="17" t="s">
        <v>74</v>
      </c>
      <c r="P56" s="16">
        <v>777</v>
      </c>
    </row>
    <row r="57" spans="15:16" x14ac:dyDescent="0.3">
      <c r="O57" s="17" t="s">
        <v>57</v>
      </c>
      <c r="P57" s="16">
        <v>765</v>
      </c>
    </row>
    <row r="58" spans="15:16" x14ac:dyDescent="0.3">
      <c r="O58" s="17" t="s">
        <v>64</v>
      </c>
      <c r="P58" s="16">
        <v>765</v>
      </c>
    </row>
    <row r="59" spans="15:16" x14ac:dyDescent="0.3">
      <c r="O59" s="17" t="s">
        <v>86</v>
      </c>
      <c r="P59" s="16">
        <v>761</v>
      </c>
    </row>
    <row r="60" spans="15:16" x14ac:dyDescent="0.3">
      <c r="O60" s="17" t="s">
        <v>90</v>
      </c>
      <c r="P60" s="16">
        <v>723</v>
      </c>
    </row>
    <row r="61" spans="15:16" x14ac:dyDescent="0.3">
      <c r="O61" s="17" t="s">
        <v>82</v>
      </c>
      <c r="P61" s="16">
        <v>712</v>
      </c>
    </row>
    <row r="62" spans="15:16" x14ac:dyDescent="0.3">
      <c r="O62" s="17" t="s">
        <v>87</v>
      </c>
      <c r="P62" s="16">
        <v>699</v>
      </c>
    </row>
    <row r="63" spans="15:16" x14ac:dyDescent="0.3">
      <c r="O63" s="17" t="s">
        <v>42</v>
      </c>
      <c r="P63" s="16">
        <v>689</v>
      </c>
    </row>
    <row r="64" spans="15:16" x14ac:dyDescent="0.3">
      <c r="O64" s="17" t="s">
        <v>13</v>
      </c>
      <c r="P64" s="16">
        <v>678</v>
      </c>
    </row>
    <row r="65" spans="15:16" x14ac:dyDescent="0.3">
      <c r="O65" s="17" t="s">
        <v>9</v>
      </c>
      <c r="P65" s="16">
        <v>670</v>
      </c>
    </row>
    <row r="66" spans="15:16" x14ac:dyDescent="0.3">
      <c r="O66" s="17" t="s">
        <v>43</v>
      </c>
      <c r="P66" s="16">
        <v>670</v>
      </c>
    </row>
    <row r="67" spans="15:16" x14ac:dyDescent="0.3">
      <c r="O67" s="17" t="s">
        <v>66</v>
      </c>
      <c r="P67" s="16">
        <v>655</v>
      </c>
    </row>
    <row r="68" spans="15:16" x14ac:dyDescent="0.3">
      <c r="O68" s="17" t="s">
        <v>97</v>
      </c>
      <c r="P68" s="16">
        <v>655</v>
      </c>
    </row>
    <row r="69" spans="15:16" x14ac:dyDescent="0.3">
      <c r="O69" s="17" t="s">
        <v>25</v>
      </c>
      <c r="P69" s="16">
        <v>653</v>
      </c>
    </row>
    <row r="70" spans="15:16" x14ac:dyDescent="0.3">
      <c r="O70" s="17" t="s">
        <v>73</v>
      </c>
      <c r="P70" s="16">
        <v>650</v>
      </c>
    </row>
    <row r="71" spans="15:16" x14ac:dyDescent="0.3">
      <c r="O71" s="17" t="s">
        <v>63</v>
      </c>
      <c r="P71" s="16">
        <v>643</v>
      </c>
    </row>
    <row r="72" spans="15:16" x14ac:dyDescent="0.3">
      <c r="O72" s="17" t="s">
        <v>47</v>
      </c>
      <c r="P72" s="16">
        <v>555</v>
      </c>
    </row>
    <row r="73" spans="15:16" x14ac:dyDescent="0.3">
      <c r="O73" s="17" t="s">
        <v>51</v>
      </c>
      <c r="P73" s="16">
        <v>554</v>
      </c>
    </row>
    <row r="74" spans="15:16" x14ac:dyDescent="0.3">
      <c r="O74" s="17" t="s">
        <v>31</v>
      </c>
      <c r="P74" s="16">
        <v>524</v>
      </c>
    </row>
    <row r="75" spans="15:16" x14ac:dyDescent="0.3">
      <c r="O75" s="17" t="s">
        <v>17</v>
      </c>
      <c r="P75" s="16">
        <v>489</v>
      </c>
    </row>
    <row r="76" spans="15:16" x14ac:dyDescent="0.3">
      <c r="O76" s="17" t="s">
        <v>29</v>
      </c>
      <c r="P76" s="16">
        <v>480</v>
      </c>
    </row>
    <row r="77" spans="15:16" x14ac:dyDescent="0.3">
      <c r="O77" s="17" t="s">
        <v>84</v>
      </c>
      <c r="P77" s="16">
        <v>478</v>
      </c>
    </row>
    <row r="78" spans="15:16" x14ac:dyDescent="0.3">
      <c r="O78" s="17" t="s">
        <v>91</v>
      </c>
      <c r="P78" s="16">
        <v>467</v>
      </c>
    </row>
    <row r="79" spans="15:16" x14ac:dyDescent="0.3">
      <c r="O79" s="17" t="s">
        <v>36</v>
      </c>
      <c r="P79" s="16">
        <v>456</v>
      </c>
    </row>
    <row r="80" spans="15:16" x14ac:dyDescent="0.3">
      <c r="O80" s="17" t="s">
        <v>85</v>
      </c>
      <c r="P80" s="16">
        <v>453</v>
      </c>
    </row>
    <row r="81" spans="15:16" x14ac:dyDescent="0.3">
      <c r="O81" s="17" t="s">
        <v>48</v>
      </c>
      <c r="P81" s="16">
        <v>432</v>
      </c>
    </row>
    <row r="82" spans="15:16" x14ac:dyDescent="0.3">
      <c r="O82" s="17" t="s">
        <v>96</v>
      </c>
      <c r="P82" s="16">
        <v>432</v>
      </c>
    </row>
    <row r="83" spans="15:16" x14ac:dyDescent="0.3">
      <c r="O83" s="17" t="s">
        <v>53</v>
      </c>
      <c r="P83" s="16">
        <v>430</v>
      </c>
    </row>
    <row r="84" spans="15:16" x14ac:dyDescent="0.3">
      <c r="O84" s="17" t="s">
        <v>30</v>
      </c>
      <c r="P84" s="16">
        <v>367</v>
      </c>
    </row>
    <row r="85" spans="15:16" x14ac:dyDescent="0.3">
      <c r="O85" s="17" t="s">
        <v>92</v>
      </c>
      <c r="P85" s="16">
        <v>366</v>
      </c>
    </row>
    <row r="86" spans="15:16" x14ac:dyDescent="0.3">
      <c r="O86" s="17" t="s">
        <v>77</v>
      </c>
      <c r="P86" s="16">
        <v>360</v>
      </c>
    </row>
    <row r="87" spans="15:16" x14ac:dyDescent="0.3">
      <c r="O87" s="17" t="s">
        <v>78</v>
      </c>
      <c r="P87" s="16">
        <v>356</v>
      </c>
    </row>
    <row r="88" spans="15:16" x14ac:dyDescent="0.3">
      <c r="O88" s="17" t="s">
        <v>18</v>
      </c>
      <c r="P88" s="16">
        <v>354</v>
      </c>
    </row>
    <row r="89" spans="15:16" x14ac:dyDescent="0.3">
      <c r="O89" s="17" t="s">
        <v>12</v>
      </c>
      <c r="P89" s="16">
        <v>345</v>
      </c>
    </row>
    <row r="90" spans="15:16" x14ac:dyDescent="0.3">
      <c r="O90" s="17" t="s">
        <v>40</v>
      </c>
      <c r="P90" s="16">
        <v>334</v>
      </c>
    </row>
    <row r="91" spans="15:16" x14ac:dyDescent="0.3">
      <c r="O91" s="17" t="s">
        <v>95</v>
      </c>
      <c r="P91" s="16">
        <v>326</v>
      </c>
    </row>
    <row r="92" spans="15:16" x14ac:dyDescent="0.3">
      <c r="O92" s="17" t="s">
        <v>35</v>
      </c>
      <c r="P92" s="16">
        <v>312</v>
      </c>
    </row>
    <row r="93" spans="15:16" x14ac:dyDescent="0.3">
      <c r="O93" s="17" t="s">
        <v>22</v>
      </c>
      <c r="P93" s="16">
        <v>274</v>
      </c>
    </row>
    <row r="94" spans="15:16" x14ac:dyDescent="0.3">
      <c r="O94" s="17" t="s">
        <v>89</v>
      </c>
      <c r="P94" s="16">
        <v>233</v>
      </c>
    </row>
    <row r="95" spans="15:16" x14ac:dyDescent="0.3">
      <c r="O95" s="17" t="s">
        <v>38</v>
      </c>
      <c r="P95" s="16">
        <v>224</v>
      </c>
    </row>
    <row r="96" spans="15:16" x14ac:dyDescent="0.3">
      <c r="O96" s="17" t="s">
        <v>33</v>
      </c>
      <c r="P96" s="16">
        <v>213</v>
      </c>
    </row>
    <row r="97" spans="15:16" x14ac:dyDescent="0.3">
      <c r="O97" s="17" t="s">
        <v>19</v>
      </c>
      <c r="P97" s="16">
        <v>195</v>
      </c>
    </row>
    <row r="98" spans="15:16" x14ac:dyDescent="0.3">
      <c r="O98" s="17" t="s">
        <v>94</v>
      </c>
      <c r="P98" s="16">
        <v>192</v>
      </c>
    </row>
    <row r="99" spans="15:16" x14ac:dyDescent="0.3">
      <c r="O99" s="17" t="s">
        <v>46</v>
      </c>
      <c r="P99" s="16">
        <v>176</v>
      </c>
    </row>
    <row r="100" spans="15:16" x14ac:dyDescent="0.3">
      <c r="O100" s="17" t="s">
        <v>75</v>
      </c>
      <c r="P100" s="16">
        <v>144</v>
      </c>
    </row>
    <row r="101" spans="15:16" x14ac:dyDescent="0.3">
      <c r="O101" s="17" t="s">
        <v>71</v>
      </c>
      <c r="P101" s="16">
        <v>127</v>
      </c>
    </row>
    <row r="102" spans="15:16" x14ac:dyDescent="0.3">
      <c r="O102" s="17" t="s">
        <v>16</v>
      </c>
      <c r="P102" s="16">
        <v>123</v>
      </c>
    </row>
    <row r="103" spans="15:16" x14ac:dyDescent="0.3">
      <c r="O103" s="17" t="s">
        <v>123</v>
      </c>
      <c r="P103" s="16">
        <v>62037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ADF4-C499-431B-9D22-341388A83213}">
  <dimension ref="B2:S84"/>
  <sheetViews>
    <sheetView topLeftCell="A60" workbookViewId="0">
      <selection activeCell="H82" activeCellId="1" sqref="G81 H82"/>
    </sheetView>
  </sheetViews>
  <sheetFormatPr defaultRowHeight="14.4" x14ac:dyDescent="0.3"/>
  <cols>
    <col min="2" max="2" width="12.5546875" bestFit="1" customWidth="1"/>
    <col min="3" max="3" width="15.5546875" bestFit="1" customWidth="1"/>
    <col min="4" max="4" width="5.88671875" bestFit="1" customWidth="1"/>
    <col min="5" max="6" width="6" bestFit="1" customWidth="1"/>
    <col min="7" max="7" width="10.77734375" bestFit="1" customWidth="1"/>
    <col min="8" max="8" width="11.6640625" bestFit="1" customWidth="1"/>
    <col min="13" max="13" width="12.5546875" bestFit="1" customWidth="1"/>
    <col min="14" max="14" width="11.6640625" bestFit="1" customWidth="1"/>
    <col min="18" max="18" width="12.5546875" bestFit="1" customWidth="1"/>
    <col min="19" max="19" width="11.77734375" bestFit="1" customWidth="1"/>
  </cols>
  <sheetData>
    <row r="2" spans="2:19" x14ac:dyDescent="0.3">
      <c r="B2" s="14" t="s">
        <v>133</v>
      </c>
      <c r="C2" t="s">
        <v>134</v>
      </c>
      <c r="F2">
        <v>12</v>
      </c>
      <c r="G2" t="s">
        <v>111</v>
      </c>
      <c r="M2" t="s">
        <v>135</v>
      </c>
      <c r="R2" t="s">
        <v>136</v>
      </c>
    </row>
    <row r="4" spans="2:19" x14ac:dyDescent="0.3">
      <c r="B4" s="15" t="s">
        <v>125</v>
      </c>
      <c r="C4" t="s">
        <v>126</v>
      </c>
      <c r="G4" s="15" t="s">
        <v>125</v>
      </c>
      <c r="H4" t="s">
        <v>126</v>
      </c>
      <c r="M4" s="15" t="s">
        <v>125</v>
      </c>
      <c r="N4" t="s">
        <v>126</v>
      </c>
      <c r="R4" s="15" t="s">
        <v>125</v>
      </c>
      <c r="S4" t="s">
        <v>124</v>
      </c>
    </row>
    <row r="5" spans="2:19" x14ac:dyDescent="0.3">
      <c r="B5" s="17" t="s">
        <v>41</v>
      </c>
      <c r="C5" s="16">
        <v>4722</v>
      </c>
      <c r="G5" s="17" t="s">
        <v>27</v>
      </c>
      <c r="H5" s="16">
        <v>19173</v>
      </c>
      <c r="M5" s="17" t="s">
        <v>82</v>
      </c>
      <c r="N5" s="16">
        <v>712</v>
      </c>
      <c r="R5" s="17" t="s">
        <v>65</v>
      </c>
      <c r="S5" s="16">
        <v>82</v>
      </c>
    </row>
    <row r="6" spans="2:19" x14ac:dyDescent="0.3">
      <c r="B6" s="17" t="s">
        <v>49</v>
      </c>
      <c r="C6" s="16">
        <v>8030</v>
      </c>
      <c r="G6" s="17" t="s">
        <v>15</v>
      </c>
      <c r="H6" s="16">
        <v>8687</v>
      </c>
      <c r="M6" s="17" t="s">
        <v>9</v>
      </c>
      <c r="N6" s="16">
        <v>670</v>
      </c>
      <c r="R6" s="17" t="s">
        <v>68</v>
      </c>
      <c r="S6" s="16">
        <v>58</v>
      </c>
    </row>
    <row r="7" spans="2:19" x14ac:dyDescent="0.3">
      <c r="B7" s="17" t="s">
        <v>26</v>
      </c>
      <c r="C7" s="16">
        <v>5368</v>
      </c>
      <c r="G7" s="17" t="s">
        <v>8</v>
      </c>
      <c r="H7" s="16">
        <v>16952</v>
      </c>
      <c r="M7" s="17" t="s">
        <v>93</v>
      </c>
      <c r="N7" s="16">
        <v>789</v>
      </c>
      <c r="R7" s="17" t="s">
        <v>60</v>
      </c>
      <c r="S7" s="16">
        <v>49</v>
      </c>
    </row>
    <row r="8" spans="2:19" x14ac:dyDescent="0.3">
      <c r="B8" s="17" t="s">
        <v>14</v>
      </c>
      <c r="C8" s="16">
        <v>4893</v>
      </c>
      <c r="G8" s="17" t="s">
        <v>21</v>
      </c>
      <c r="H8" s="16">
        <v>17225</v>
      </c>
      <c r="M8" s="17" t="s">
        <v>10</v>
      </c>
      <c r="N8" s="16">
        <v>792</v>
      </c>
      <c r="R8" s="17" t="s">
        <v>44</v>
      </c>
      <c r="S8" s="16">
        <v>43</v>
      </c>
    </row>
    <row r="9" spans="2:19" x14ac:dyDescent="0.3">
      <c r="B9" s="17" t="s">
        <v>20</v>
      </c>
      <c r="C9" s="16">
        <v>8211</v>
      </c>
      <c r="G9" s="17" t="s">
        <v>123</v>
      </c>
      <c r="H9" s="16">
        <v>62037</v>
      </c>
      <c r="M9" s="17" t="s">
        <v>38</v>
      </c>
      <c r="N9" s="16">
        <v>224</v>
      </c>
      <c r="R9" s="17" t="s">
        <v>56</v>
      </c>
      <c r="S9" s="16">
        <v>42</v>
      </c>
    </row>
    <row r="10" spans="2:19" x14ac:dyDescent="0.3">
      <c r="B10" s="17" t="s">
        <v>59</v>
      </c>
      <c r="C10" s="16">
        <v>4645</v>
      </c>
      <c r="M10" s="17" t="s">
        <v>43</v>
      </c>
      <c r="N10" s="16">
        <v>670</v>
      </c>
      <c r="R10" s="17" t="s">
        <v>50</v>
      </c>
      <c r="S10" s="16">
        <v>41</v>
      </c>
    </row>
    <row r="11" spans="2:19" x14ac:dyDescent="0.3">
      <c r="B11" s="17" t="s">
        <v>37</v>
      </c>
      <c r="C11" s="16">
        <v>5322</v>
      </c>
      <c r="M11" s="17" t="s">
        <v>81</v>
      </c>
      <c r="N11" s="16">
        <v>1753</v>
      </c>
      <c r="R11" s="17" t="s">
        <v>70</v>
      </c>
      <c r="S11" s="16">
        <v>40</v>
      </c>
    </row>
    <row r="12" spans="2:19" x14ac:dyDescent="0.3">
      <c r="B12" s="17" t="s">
        <v>32</v>
      </c>
      <c r="C12" s="16">
        <v>5577</v>
      </c>
      <c r="M12" s="17" t="s">
        <v>11</v>
      </c>
      <c r="N12" s="16">
        <v>1643</v>
      </c>
      <c r="R12" s="17" t="s">
        <v>11</v>
      </c>
      <c r="S12" s="16">
        <v>38</v>
      </c>
    </row>
    <row r="13" spans="2:19" x14ac:dyDescent="0.3">
      <c r="B13" s="17" t="s">
        <v>7</v>
      </c>
      <c r="C13" s="16">
        <v>2992</v>
      </c>
      <c r="M13" s="17" t="s">
        <v>64</v>
      </c>
      <c r="N13" s="16">
        <v>765</v>
      </c>
      <c r="R13" s="17" t="s">
        <v>81</v>
      </c>
      <c r="S13" s="16">
        <v>37</v>
      </c>
    </row>
    <row r="14" spans="2:19" x14ac:dyDescent="0.3">
      <c r="B14" s="17" t="s">
        <v>54</v>
      </c>
      <c r="C14" s="16">
        <v>7231</v>
      </c>
      <c r="M14" s="17" t="s">
        <v>55</v>
      </c>
      <c r="N14" s="16">
        <v>1264</v>
      </c>
      <c r="R14" s="17" t="s">
        <v>55</v>
      </c>
      <c r="S14" s="16">
        <v>37</v>
      </c>
    </row>
    <row r="15" spans="2:19" x14ac:dyDescent="0.3">
      <c r="B15" s="17" t="s">
        <v>45</v>
      </c>
      <c r="C15" s="16">
        <v>5046</v>
      </c>
      <c r="M15" s="17" t="s">
        <v>71</v>
      </c>
      <c r="N15" s="16">
        <v>127</v>
      </c>
      <c r="R15" s="17" t="s">
        <v>52</v>
      </c>
      <c r="S15" s="16">
        <v>36</v>
      </c>
    </row>
    <row r="16" spans="2:19" x14ac:dyDescent="0.3">
      <c r="B16" s="17" t="s">
        <v>123</v>
      </c>
      <c r="C16" s="16">
        <v>62037</v>
      </c>
      <c r="M16" s="17" t="s">
        <v>98</v>
      </c>
      <c r="N16" s="16">
        <v>785</v>
      </c>
      <c r="R16" s="17" t="s">
        <v>43</v>
      </c>
      <c r="S16" s="16">
        <v>35</v>
      </c>
    </row>
    <row r="17" spans="2:19" x14ac:dyDescent="0.3">
      <c r="M17" s="17" t="s">
        <v>83</v>
      </c>
      <c r="N17" s="16">
        <v>798</v>
      </c>
      <c r="R17" s="17" t="s">
        <v>69</v>
      </c>
      <c r="S17" s="16">
        <v>35</v>
      </c>
    </row>
    <row r="18" spans="2:19" x14ac:dyDescent="0.3">
      <c r="M18" s="17" t="s">
        <v>39</v>
      </c>
      <c r="N18" s="16">
        <v>1056</v>
      </c>
      <c r="R18" s="17" t="s">
        <v>80</v>
      </c>
      <c r="S18" s="16">
        <v>33</v>
      </c>
    </row>
    <row r="19" spans="2:19" x14ac:dyDescent="0.3">
      <c r="M19" s="17" t="s">
        <v>75</v>
      </c>
      <c r="N19" s="16">
        <v>144</v>
      </c>
      <c r="R19" s="17" t="s">
        <v>61</v>
      </c>
      <c r="S19" s="16">
        <v>32</v>
      </c>
    </row>
    <row r="20" spans="2:19" x14ac:dyDescent="0.3">
      <c r="M20" s="17" t="s">
        <v>67</v>
      </c>
      <c r="N20" s="16">
        <v>1531</v>
      </c>
      <c r="R20" s="17" t="s">
        <v>67</v>
      </c>
      <c r="S20" s="16">
        <v>31</v>
      </c>
    </row>
    <row r="21" spans="2:19" x14ac:dyDescent="0.3">
      <c r="M21" s="17" t="s">
        <v>92</v>
      </c>
      <c r="N21" s="16">
        <v>366</v>
      </c>
      <c r="R21" s="17" t="s">
        <v>51</v>
      </c>
      <c r="S21" s="16">
        <v>31</v>
      </c>
    </row>
    <row r="22" spans="2:19" x14ac:dyDescent="0.3">
      <c r="B22" t="s">
        <v>137</v>
      </c>
      <c r="F22" t="s">
        <v>138</v>
      </c>
      <c r="M22" s="17" t="s">
        <v>25</v>
      </c>
      <c r="N22" s="16">
        <v>653</v>
      </c>
      <c r="R22" s="17" t="s">
        <v>58</v>
      </c>
      <c r="S22" s="16">
        <v>29</v>
      </c>
    </row>
    <row r="23" spans="2:19" x14ac:dyDescent="0.3">
      <c r="M23" s="17" t="s">
        <v>90</v>
      </c>
      <c r="N23" s="16">
        <v>723</v>
      </c>
      <c r="R23" s="17" t="s">
        <v>72</v>
      </c>
      <c r="S23" s="16">
        <v>29</v>
      </c>
    </row>
    <row r="24" spans="2:19" x14ac:dyDescent="0.3">
      <c r="B24" s="15" t="s">
        <v>125</v>
      </c>
      <c r="C24" t="s">
        <v>126</v>
      </c>
      <c r="F24" s="15" t="s">
        <v>125</v>
      </c>
      <c r="G24" t="s">
        <v>124</v>
      </c>
      <c r="M24" s="17" t="s">
        <v>61</v>
      </c>
      <c r="N24" s="16">
        <v>970</v>
      </c>
      <c r="R24" s="17" t="s">
        <v>24</v>
      </c>
      <c r="S24" s="16">
        <v>28</v>
      </c>
    </row>
    <row r="25" spans="2:19" x14ac:dyDescent="0.3">
      <c r="B25" s="17" t="s">
        <v>27</v>
      </c>
      <c r="C25" s="16">
        <v>19173</v>
      </c>
      <c r="F25" s="17" t="s">
        <v>20</v>
      </c>
      <c r="G25" s="16">
        <v>212</v>
      </c>
      <c r="M25" s="17" t="s">
        <v>56</v>
      </c>
      <c r="N25" s="16">
        <v>1341</v>
      </c>
      <c r="R25" s="17" t="s">
        <v>66</v>
      </c>
      <c r="S25" s="16">
        <v>28</v>
      </c>
    </row>
    <row r="26" spans="2:19" x14ac:dyDescent="0.3">
      <c r="B26" s="17" t="s">
        <v>21</v>
      </c>
      <c r="C26" s="16">
        <v>17225</v>
      </c>
      <c r="F26" s="17" t="s">
        <v>54</v>
      </c>
      <c r="G26" s="16">
        <v>200</v>
      </c>
      <c r="M26" s="17" t="s">
        <v>12</v>
      </c>
      <c r="N26" s="16">
        <v>345</v>
      </c>
      <c r="R26" s="17" t="s">
        <v>76</v>
      </c>
      <c r="S26" s="16">
        <v>28</v>
      </c>
    </row>
    <row r="27" spans="2:19" x14ac:dyDescent="0.3">
      <c r="B27" s="17" t="s">
        <v>8</v>
      </c>
      <c r="C27" s="16">
        <v>16952</v>
      </c>
      <c r="F27" s="17" t="s">
        <v>49</v>
      </c>
      <c r="G27" s="16">
        <v>199</v>
      </c>
      <c r="M27" s="17" t="s">
        <v>42</v>
      </c>
      <c r="N27" s="16">
        <v>689</v>
      </c>
      <c r="R27" s="17" t="s">
        <v>79</v>
      </c>
      <c r="S27" s="16">
        <v>28</v>
      </c>
    </row>
    <row r="28" spans="2:19" x14ac:dyDescent="0.3">
      <c r="B28" s="17" t="s">
        <v>15</v>
      </c>
      <c r="C28" s="16">
        <v>8687</v>
      </c>
      <c r="F28" s="17" t="s">
        <v>32</v>
      </c>
      <c r="G28" s="16">
        <v>166</v>
      </c>
      <c r="M28" s="17" t="s">
        <v>40</v>
      </c>
      <c r="N28" s="16">
        <v>334</v>
      </c>
      <c r="R28" s="17" t="s">
        <v>39</v>
      </c>
      <c r="S28" s="16">
        <v>27</v>
      </c>
    </row>
    <row r="29" spans="2:19" x14ac:dyDescent="0.3">
      <c r="B29" s="17" t="s">
        <v>123</v>
      </c>
      <c r="C29" s="16">
        <v>62037</v>
      </c>
      <c r="F29" s="17" t="s">
        <v>59</v>
      </c>
      <c r="G29" s="16">
        <v>166</v>
      </c>
      <c r="M29" s="17" t="s">
        <v>94</v>
      </c>
      <c r="N29" s="16">
        <v>192</v>
      </c>
      <c r="R29" s="17" t="s">
        <v>23</v>
      </c>
      <c r="S29" s="16">
        <v>26</v>
      </c>
    </row>
    <row r="30" spans="2:19" x14ac:dyDescent="0.3">
      <c r="F30" s="17" t="s">
        <v>26</v>
      </c>
      <c r="G30" s="16">
        <v>159</v>
      </c>
      <c r="M30" s="17" t="s">
        <v>44</v>
      </c>
      <c r="N30" s="16">
        <v>1848</v>
      </c>
      <c r="R30" s="17" t="s">
        <v>63</v>
      </c>
      <c r="S30" s="16">
        <v>24</v>
      </c>
    </row>
    <row r="31" spans="2:19" x14ac:dyDescent="0.3">
      <c r="F31" s="17" t="s">
        <v>14</v>
      </c>
      <c r="G31" s="16">
        <v>159</v>
      </c>
      <c r="M31" s="17" t="s">
        <v>13</v>
      </c>
      <c r="N31" s="16">
        <v>678</v>
      </c>
      <c r="R31" s="17" t="s">
        <v>62</v>
      </c>
      <c r="S31" s="16">
        <v>24</v>
      </c>
    </row>
    <row r="32" spans="2:19" x14ac:dyDescent="0.3">
      <c r="F32" s="17" t="s">
        <v>41</v>
      </c>
      <c r="G32" s="16">
        <v>149</v>
      </c>
      <c r="M32" s="17" t="s">
        <v>87</v>
      </c>
      <c r="N32" s="16">
        <v>699</v>
      </c>
      <c r="R32" s="17" t="s">
        <v>9</v>
      </c>
      <c r="S32" s="16">
        <v>24</v>
      </c>
    </row>
    <row r="33" spans="2:19" x14ac:dyDescent="0.3">
      <c r="F33" s="17" t="s">
        <v>37</v>
      </c>
      <c r="G33" s="16">
        <v>142</v>
      </c>
      <c r="M33" s="17" t="s">
        <v>58</v>
      </c>
      <c r="N33" s="16">
        <v>941</v>
      </c>
      <c r="R33" s="17" t="s">
        <v>31</v>
      </c>
      <c r="S33" s="16">
        <v>23</v>
      </c>
    </row>
    <row r="34" spans="2:19" x14ac:dyDescent="0.3">
      <c r="F34" s="17" t="s">
        <v>45</v>
      </c>
      <c r="G34" s="16">
        <v>140</v>
      </c>
      <c r="M34" s="17" t="s">
        <v>79</v>
      </c>
      <c r="N34" s="16">
        <v>1048</v>
      </c>
      <c r="R34" s="17" t="s">
        <v>73</v>
      </c>
      <c r="S34" s="16">
        <v>22</v>
      </c>
    </row>
    <row r="35" spans="2:19" x14ac:dyDescent="0.3">
      <c r="F35" s="17" t="s">
        <v>7</v>
      </c>
      <c r="G35" s="16">
        <v>83</v>
      </c>
      <c r="M35" s="17" t="s">
        <v>16</v>
      </c>
      <c r="N35" s="16">
        <v>123</v>
      </c>
      <c r="R35" s="17" t="s">
        <v>16</v>
      </c>
      <c r="S35" s="16">
        <v>22</v>
      </c>
    </row>
    <row r="36" spans="2:19" x14ac:dyDescent="0.3">
      <c r="F36" s="17" t="s">
        <v>123</v>
      </c>
      <c r="G36" s="16">
        <v>1775</v>
      </c>
      <c r="M36" s="17" t="s">
        <v>19</v>
      </c>
      <c r="N36" s="16">
        <v>195</v>
      </c>
      <c r="R36" s="17" t="s">
        <v>35</v>
      </c>
      <c r="S36" s="16">
        <v>21</v>
      </c>
    </row>
    <row r="37" spans="2:19" x14ac:dyDescent="0.3">
      <c r="M37" s="17" t="s">
        <v>97</v>
      </c>
      <c r="N37" s="16">
        <v>655</v>
      </c>
      <c r="R37" s="17" t="s">
        <v>25</v>
      </c>
      <c r="S37" s="16">
        <v>21</v>
      </c>
    </row>
    <row r="38" spans="2:19" x14ac:dyDescent="0.3">
      <c r="M38" s="17" t="s">
        <v>95</v>
      </c>
      <c r="N38" s="16">
        <v>326</v>
      </c>
      <c r="R38" s="17" t="s">
        <v>10</v>
      </c>
      <c r="S38" s="16">
        <v>20</v>
      </c>
    </row>
    <row r="39" spans="2:19" x14ac:dyDescent="0.3">
      <c r="M39" s="17" t="s">
        <v>72</v>
      </c>
      <c r="N39" s="16">
        <v>1435</v>
      </c>
      <c r="R39" s="17" t="s">
        <v>53</v>
      </c>
      <c r="S39" s="16">
        <v>20</v>
      </c>
    </row>
    <row r="40" spans="2:19" x14ac:dyDescent="0.3">
      <c r="M40" s="17" t="s">
        <v>51</v>
      </c>
      <c r="N40" s="16">
        <v>554</v>
      </c>
      <c r="R40" s="17" t="s">
        <v>36</v>
      </c>
      <c r="S40" s="16">
        <v>19</v>
      </c>
    </row>
    <row r="41" spans="2:19" x14ac:dyDescent="0.3">
      <c r="B41" t="s">
        <v>139</v>
      </c>
      <c r="F41" t="s">
        <v>142</v>
      </c>
      <c r="M41" s="17" t="s">
        <v>22</v>
      </c>
      <c r="N41" s="16">
        <v>274</v>
      </c>
      <c r="R41" s="17" t="s">
        <v>29</v>
      </c>
      <c r="S41" s="16">
        <v>19</v>
      </c>
    </row>
    <row r="42" spans="2:19" x14ac:dyDescent="0.3">
      <c r="M42" s="17" t="s">
        <v>62</v>
      </c>
      <c r="N42" s="16">
        <v>891</v>
      </c>
      <c r="R42" s="17" t="s">
        <v>17</v>
      </c>
      <c r="S42" s="16">
        <v>19</v>
      </c>
    </row>
    <row r="43" spans="2:19" x14ac:dyDescent="0.3">
      <c r="B43" s="15" t="s">
        <v>125</v>
      </c>
      <c r="C43" t="s">
        <v>141</v>
      </c>
      <c r="F43" s="15" t="s">
        <v>125</v>
      </c>
      <c r="G43" t="s">
        <v>141</v>
      </c>
      <c r="M43" s="17" t="s">
        <v>91</v>
      </c>
      <c r="N43" s="16">
        <v>467</v>
      </c>
      <c r="R43" s="17" t="s">
        <v>57</v>
      </c>
      <c r="S43" s="16">
        <v>19</v>
      </c>
    </row>
    <row r="44" spans="2:19" x14ac:dyDescent="0.3">
      <c r="B44" s="17" t="s">
        <v>49</v>
      </c>
      <c r="C44" s="16">
        <v>39.177754435107374</v>
      </c>
      <c r="F44" s="17" t="s">
        <v>59</v>
      </c>
      <c r="G44" s="16">
        <v>27.85680011995802</v>
      </c>
      <c r="M44" s="17" t="s">
        <v>28</v>
      </c>
      <c r="N44" s="16">
        <v>789</v>
      </c>
      <c r="R44" s="17" t="s">
        <v>91</v>
      </c>
      <c r="S44" s="16">
        <v>19</v>
      </c>
    </row>
    <row r="45" spans="2:19" x14ac:dyDescent="0.3">
      <c r="B45" s="17" t="s">
        <v>20</v>
      </c>
      <c r="C45" s="16">
        <v>39.081792246710975</v>
      </c>
      <c r="F45" s="17" t="s">
        <v>41</v>
      </c>
      <c r="G45" s="16">
        <v>30.591867047094318</v>
      </c>
      <c r="M45" s="17" t="s">
        <v>47</v>
      </c>
      <c r="N45" s="16">
        <v>555</v>
      </c>
      <c r="R45" s="17" t="s">
        <v>85</v>
      </c>
      <c r="S45" s="16">
        <v>19</v>
      </c>
    </row>
    <row r="46" spans="2:19" x14ac:dyDescent="0.3">
      <c r="B46" s="17" t="s">
        <v>7</v>
      </c>
      <c r="C46" s="16">
        <v>35.563571428571429</v>
      </c>
      <c r="F46" s="17" t="s">
        <v>26</v>
      </c>
      <c r="G46" s="16">
        <v>30.799311660325085</v>
      </c>
      <c r="M46" s="17" t="s">
        <v>77</v>
      </c>
      <c r="N46" s="16">
        <v>360</v>
      </c>
      <c r="R46" s="17" t="s">
        <v>77</v>
      </c>
      <c r="S46" s="16">
        <v>19</v>
      </c>
    </row>
    <row r="47" spans="2:19" x14ac:dyDescent="0.3">
      <c r="B47" s="17" t="s">
        <v>54</v>
      </c>
      <c r="C47" s="16">
        <v>34.819057580706193</v>
      </c>
      <c r="F47" s="17" t="s">
        <v>14</v>
      </c>
      <c r="G47" s="16">
        <v>30.89408749145591</v>
      </c>
      <c r="M47" s="17" t="s">
        <v>85</v>
      </c>
      <c r="N47" s="16">
        <v>453</v>
      </c>
      <c r="R47" s="17" t="s">
        <v>87</v>
      </c>
      <c r="S47" s="16">
        <v>18</v>
      </c>
    </row>
    <row r="48" spans="2:19" x14ac:dyDescent="0.3">
      <c r="B48" s="17" t="s">
        <v>45</v>
      </c>
      <c r="C48" s="16">
        <v>34.5905525030525</v>
      </c>
      <c r="F48" s="17" t="s">
        <v>32</v>
      </c>
      <c r="G48" s="16">
        <v>32.825296231546233</v>
      </c>
      <c r="M48" s="17" t="s">
        <v>33</v>
      </c>
      <c r="N48" s="16">
        <v>213</v>
      </c>
      <c r="R48" s="17" t="s">
        <v>40</v>
      </c>
      <c r="S48" s="16">
        <v>17</v>
      </c>
    </row>
    <row r="49" spans="2:19" x14ac:dyDescent="0.3">
      <c r="B49" s="17" t="s">
        <v>37</v>
      </c>
      <c r="C49" s="16">
        <v>34.140471271153096</v>
      </c>
      <c r="F49" s="17" t="s">
        <v>37</v>
      </c>
      <c r="G49" s="16">
        <v>34.140471271153096</v>
      </c>
      <c r="M49" s="17" t="s">
        <v>17</v>
      </c>
      <c r="N49" s="16">
        <v>489</v>
      </c>
      <c r="R49" s="17" t="s">
        <v>99</v>
      </c>
      <c r="S49" s="16">
        <v>17</v>
      </c>
    </row>
    <row r="50" spans="2:19" x14ac:dyDescent="0.3">
      <c r="B50" s="17" t="s">
        <v>32</v>
      </c>
      <c r="C50" s="16">
        <v>32.825296231546233</v>
      </c>
      <c r="F50" s="17" t="s">
        <v>45</v>
      </c>
      <c r="G50" s="16">
        <v>34.5905525030525</v>
      </c>
      <c r="M50" s="17" t="s">
        <v>68</v>
      </c>
      <c r="N50" s="16">
        <v>2301</v>
      </c>
      <c r="R50" s="17" t="s">
        <v>28</v>
      </c>
      <c r="S50" s="16">
        <v>17</v>
      </c>
    </row>
    <row r="51" spans="2:19" x14ac:dyDescent="0.3">
      <c r="B51" s="17" t="s">
        <v>14</v>
      </c>
      <c r="C51" s="16">
        <v>30.89408749145591</v>
      </c>
      <c r="F51" s="17" t="s">
        <v>54</v>
      </c>
      <c r="G51" s="16">
        <v>34.819057580706193</v>
      </c>
      <c r="M51" s="17" t="s">
        <v>31</v>
      </c>
      <c r="N51" s="16">
        <v>524</v>
      </c>
      <c r="R51" s="17" t="s">
        <v>88</v>
      </c>
      <c r="S51" s="16">
        <v>16</v>
      </c>
    </row>
    <row r="52" spans="2:19" x14ac:dyDescent="0.3">
      <c r="B52" s="17" t="s">
        <v>26</v>
      </c>
      <c r="C52" s="16">
        <v>30.799311660325085</v>
      </c>
      <c r="F52" s="17" t="s">
        <v>7</v>
      </c>
      <c r="G52" s="16">
        <v>35.563571428571429</v>
      </c>
      <c r="M52" s="17" t="s">
        <v>23</v>
      </c>
      <c r="N52" s="16">
        <v>837</v>
      </c>
      <c r="R52" s="17" t="s">
        <v>90</v>
      </c>
      <c r="S52" s="16">
        <v>16</v>
      </c>
    </row>
    <row r="53" spans="2:19" x14ac:dyDescent="0.3">
      <c r="B53" s="17" t="s">
        <v>41</v>
      </c>
      <c r="C53" s="16">
        <v>30.591867047094318</v>
      </c>
      <c r="F53" s="17" t="s">
        <v>20</v>
      </c>
      <c r="G53" s="16">
        <v>39.081792246710975</v>
      </c>
      <c r="M53" s="17" t="s">
        <v>65</v>
      </c>
      <c r="N53" s="16">
        <v>2944</v>
      </c>
      <c r="R53" s="17" t="s">
        <v>82</v>
      </c>
      <c r="S53" s="16">
        <v>16</v>
      </c>
    </row>
    <row r="54" spans="2:19" x14ac:dyDescent="0.3">
      <c r="B54" s="17" t="s">
        <v>59</v>
      </c>
      <c r="C54" s="16">
        <v>27.85680011995802</v>
      </c>
      <c r="F54" s="17" t="s">
        <v>49</v>
      </c>
      <c r="G54" s="16">
        <v>39.177754435107374</v>
      </c>
      <c r="M54" s="17" t="s">
        <v>57</v>
      </c>
      <c r="N54" s="16">
        <v>765</v>
      </c>
      <c r="R54" s="17" t="s">
        <v>74</v>
      </c>
      <c r="S54" s="16">
        <v>16</v>
      </c>
    </row>
    <row r="55" spans="2:19" x14ac:dyDescent="0.3">
      <c r="B55" s="17" t="s">
        <v>123</v>
      </c>
      <c r="C55" s="16">
        <v>33.582422040224237</v>
      </c>
      <c r="F55" s="17" t="s">
        <v>123</v>
      </c>
      <c r="G55" s="16">
        <v>33.582422040224237</v>
      </c>
      <c r="M55" s="17" t="s">
        <v>70</v>
      </c>
      <c r="N55" s="16">
        <v>1998</v>
      </c>
      <c r="R55" s="17" t="s">
        <v>13</v>
      </c>
      <c r="S55" s="16">
        <v>16</v>
      </c>
    </row>
    <row r="56" spans="2:19" x14ac:dyDescent="0.3">
      <c r="M56" s="17" t="s">
        <v>60</v>
      </c>
      <c r="N56" s="16">
        <v>1408</v>
      </c>
      <c r="R56" s="17" t="s">
        <v>100</v>
      </c>
      <c r="S56" s="16">
        <v>15</v>
      </c>
    </row>
    <row r="57" spans="2:19" x14ac:dyDescent="0.3">
      <c r="M57" s="17" t="s">
        <v>74</v>
      </c>
      <c r="N57" s="16">
        <v>777</v>
      </c>
      <c r="R57" s="17" t="s">
        <v>42</v>
      </c>
      <c r="S57" s="16">
        <v>15</v>
      </c>
    </row>
    <row r="58" spans="2:19" x14ac:dyDescent="0.3">
      <c r="M58" s="17" t="s">
        <v>29</v>
      </c>
      <c r="N58" s="16">
        <v>480</v>
      </c>
      <c r="R58" s="17" t="s">
        <v>86</v>
      </c>
      <c r="S58" s="16">
        <v>15</v>
      </c>
    </row>
    <row r="59" spans="2:19" x14ac:dyDescent="0.3">
      <c r="B59" t="s">
        <v>143</v>
      </c>
      <c r="M59" s="17" t="s">
        <v>36</v>
      </c>
      <c r="N59" s="16">
        <v>456</v>
      </c>
      <c r="R59" s="17" t="s">
        <v>93</v>
      </c>
      <c r="S59" s="16">
        <v>15</v>
      </c>
    </row>
    <row r="60" spans="2:19" x14ac:dyDescent="0.3">
      <c r="M60" s="17" t="s">
        <v>34</v>
      </c>
      <c r="N60" s="16">
        <v>789</v>
      </c>
      <c r="R60" s="17" t="s">
        <v>83</v>
      </c>
      <c r="S60" s="16">
        <v>15</v>
      </c>
    </row>
    <row r="61" spans="2:19" x14ac:dyDescent="0.3">
      <c r="B61" s="15" t="s">
        <v>126</v>
      </c>
      <c r="C61" s="15" t="s">
        <v>122</v>
      </c>
      <c r="M61" s="17" t="s">
        <v>73</v>
      </c>
      <c r="N61" s="16">
        <v>650</v>
      </c>
      <c r="R61" s="17" t="s">
        <v>48</v>
      </c>
      <c r="S61" s="16">
        <v>15</v>
      </c>
    </row>
    <row r="62" spans="2:19" x14ac:dyDescent="0.3">
      <c r="B62" s="15" t="s">
        <v>125</v>
      </c>
      <c r="C62" t="s">
        <v>27</v>
      </c>
      <c r="D62" t="s">
        <v>15</v>
      </c>
      <c r="E62" t="s">
        <v>8</v>
      </c>
      <c r="F62" t="s">
        <v>21</v>
      </c>
      <c r="G62" t="s">
        <v>123</v>
      </c>
      <c r="M62" s="17" t="s">
        <v>52</v>
      </c>
      <c r="N62" s="16">
        <v>1132</v>
      </c>
      <c r="R62" s="17" t="s">
        <v>34</v>
      </c>
      <c r="S62" s="16">
        <v>15</v>
      </c>
    </row>
    <row r="63" spans="2:19" x14ac:dyDescent="0.3">
      <c r="B63" s="17" t="s">
        <v>20</v>
      </c>
      <c r="C63" s="16">
        <v>989</v>
      </c>
      <c r="D63" s="16">
        <v>864</v>
      </c>
      <c r="E63" s="16">
        <v>2961</v>
      </c>
      <c r="F63" s="16">
        <v>3397</v>
      </c>
      <c r="G63" s="16">
        <v>8211</v>
      </c>
      <c r="M63" s="17" t="s">
        <v>18</v>
      </c>
      <c r="N63" s="16">
        <v>354</v>
      </c>
      <c r="R63" s="17" t="s">
        <v>64</v>
      </c>
      <c r="S63" s="16">
        <v>15</v>
      </c>
    </row>
    <row r="64" spans="2:19" x14ac:dyDescent="0.3">
      <c r="B64" s="17" t="s">
        <v>49</v>
      </c>
      <c r="C64" s="16">
        <v>1453</v>
      </c>
      <c r="D64" s="16">
        <v>199</v>
      </c>
      <c r="E64" s="16">
        <v>5666</v>
      </c>
      <c r="F64" s="16">
        <v>712</v>
      </c>
      <c r="G64" s="16">
        <v>8030</v>
      </c>
      <c r="M64" s="17" t="s">
        <v>88</v>
      </c>
      <c r="N64" s="16">
        <v>777</v>
      </c>
      <c r="R64" s="17" t="s">
        <v>98</v>
      </c>
      <c r="S64" s="16">
        <v>15</v>
      </c>
    </row>
    <row r="65" spans="2:19" x14ac:dyDescent="0.3">
      <c r="B65" s="17" t="s">
        <v>54</v>
      </c>
      <c r="C65" s="16">
        <v>2923</v>
      </c>
      <c r="D65" s="16"/>
      <c r="E65" s="16">
        <v>355</v>
      </c>
      <c r="F65" s="16">
        <v>3953</v>
      </c>
      <c r="G65" s="16">
        <v>7231</v>
      </c>
      <c r="M65" s="17" t="s">
        <v>24</v>
      </c>
      <c r="N65" s="16">
        <v>911</v>
      </c>
      <c r="R65" s="17" t="s">
        <v>97</v>
      </c>
      <c r="S65" s="16">
        <v>14</v>
      </c>
    </row>
    <row r="66" spans="2:19" x14ac:dyDescent="0.3">
      <c r="B66" s="17" t="s">
        <v>32</v>
      </c>
      <c r="C66" s="16">
        <v>1431</v>
      </c>
      <c r="D66" s="16">
        <v>1664</v>
      </c>
      <c r="E66" s="16">
        <v>2259</v>
      </c>
      <c r="F66" s="16">
        <v>223</v>
      </c>
      <c r="G66" s="16">
        <v>5577</v>
      </c>
      <c r="M66" s="17" t="s">
        <v>96</v>
      </c>
      <c r="N66" s="16">
        <v>432</v>
      </c>
      <c r="R66" s="17" t="s">
        <v>30</v>
      </c>
      <c r="S66" s="16">
        <v>14</v>
      </c>
    </row>
    <row r="67" spans="2:19" x14ac:dyDescent="0.3">
      <c r="B67" s="17" t="s">
        <v>26</v>
      </c>
      <c r="C67" s="16">
        <v>3289</v>
      </c>
      <c r="D67" s="16"/>
      <c r="E67" s="16">
        <v>127</v>
      </c>
      <c r="F67" s="16">
        <v>1952</v>
      </c>
      <c r="G67" s="16">
        <v>5368</v>
      </c>
      <c r="M67" s="17" t="s">
        <v>63</v>
      </c>
      <c r="N67" s="16">
        <v>643</v>
      </c>
      <c r="R67" s="17" t="s">
        <v>12</v>
      </c>
      <c r="S67" s="16">
        <v>14</v>
      </c>
    </row>
    <row r="68" spans="2:19" x14ac:dyDescent="0.3">
      <c r="B68" s="17" t="s">
        <v>37</v>
      </c>
      <c r="C68" s="16">
        <v>3399</v>
      </c>
      <c r="D68" s="16">
        <v>1001</v>
      </c>
      <c r="E68" s="16">
        <v>699</v>
      </c>
      <c r="F68" s="16">
        <v>223</v>
      </c>
      <c r="G68" s="16">
        <v>5322</v>
      </c>
      <c r="M68" s="17" t="s">
        <v>89</v>
      </c>
      <c r="N68" s="16">
        <v>233</v>
      </c>
      <c r="R68" s="17" t="s">
        <v>33</v>
      </c>
      <c r="S68" s="16">
        <v>13</v>
      </c>
    </row>
    <row r="69" spans="2:19" x14ac:dyDescent="0.3">
      <c r="B69" s="17" t="s">
        <v>45</v>
      </c>
      <c r="C69" s="16">
        <v>2868</v>
      </c>
      <c r="D69" s="16">
        <v>288</v>
      </c>
      <c r="E69" s="16">
        <v>186</v>
      </c>
      <c r="F69" s="16">
        <v>1704</v>
      </c>
      <c r="G69" s="16">
        <v>5046</v>
      </c>
      <c r="M69" s="17" t="s">
        <v>48</v>
      </c>
      <c r="N69" s="16">
        <v>432</v>
      </c>
      <c r="R69" s="17" t="s">
        <v>47</v>
      </c>
      <c r="S69" s="16">
        <v>13</v>
      </c>
    </row>
    <row r="70" spans="2:19" x14ac:dyDescent="0.3">
      <c r="B70" s="17" t="s">
        <v>14</v>
      </c>
      <c r="C70" s="16">
        <v>187</v>
      </c>
      <c r="D70" s="16">
        <v>1527</v>
      </c>
      <c r="E70" s="16">
        <v>541</v>
      </c>
      <c r="F70" s="16">
        <v>2638</v>
      </c>
      <c r="G70" s="16">
        <v>4893</v>
      </c>
      <c r="M70" s="17" t="s">
        <v>30</v>
      </c>
      <c r="N70" s="16">
        <v>367</v>
      </c>
      <c r="R70" s="17" t="s">
        <v>96</v>
      </c>
      <c r="S70" s="16">
        <v>13</v>
      </c>
    </row>
    <row r="71" spans="2:19" x14ac:dyDescent="0.3">
      <c r="B71" s="17" t="s">
        <v>41</v>
      </c>
      <c r="C71" s="16">
        <v>777</v>
      </c>
      <c r="D71" s="16">
        <v>356</v>
      </c>
      <c r="E71" s="16">
        <v>1166</v>
      </c>
      <c r="F71" s="16">
        <v>2423</v>
      </c>
      <c r="G71" s="16">
        <v>4722</v>
      </c>
      <c r="M71" s="17" t="s">
        <v>84</v>
      </c>
      <c r="N71" s="16">
        <v>478</v>
      </c>
      <c r="R71" s="17" t="s">
        <v>18</v>
      </c>
      <c r="S71" s="16">
        <v>12</v>
      </c>
    </row>
    <row r="72" spans="2:19" x14ac:dyDescent="0.3">
      <c r="B72" s="17" t="s">
        <v>59</v>
      </c>
      <c r="C72" s="16">
        <v>1857</v>
      </c>
      <c r="D72" s="16">
        <v>2788</v>
      </c>
      <c r="E72" s="16"/>
      <c r="F72" s="16"/>
      <c r="G72" s="16">
        <v>4645</v>
      </c>
      <c r="M72" s="17" t="s">
        <v>35</v>
      </c>
      <c r="N72" s="16">
        <v>312</v>
      </c>
      <c r="R72" s="17" t="s">
        <v>84</v>
      </c>
      <c r="S72" s="16">
        <v>12</v>
      </c>
    </row>
    <row r="73" spans="2:19" x14ac:dyDescent="0.3">
      <c r="B73" s="17" t="s">
        <v>7</v>
      </c>
      <c r="C73" s="16"/>
      <c r="D73" s="16"/>
      <c r="E73" s="16">
        <v>2992</v>
      </c>
      <c r="F73" s="16"/>
      <c r="G73" s="16">
        <v>2992</v>
      </c>
      <c r="M73" s="17" t="s">
        <v>69</v>
      </c>
      <c r="N73" s="16">
        <v>1363</v>
      </c>
      <c r="R73" s="17" t="s">
        <v>95</v>
      </c>
      <c r="S73" s="16">
        <v>12</v>
      </c>
    </row>
    <row r="74" spans="2:19" x14ac:dyDescent="0.3">
      <c r="B74" s="17" t="s">
        <v>123</v>
      </c>
      <c r="C74" s="16">
        <v>19173</v>
      </c>
      <c r="D74" s="16">
        <v>8687</v>
      </c>
      <c r="E74" s="16">
        <v>16952</v>
      </c>
      <c r="F74" s="16">
        <v>17225</v>
      </c>
      <c r="G74" s="16">
        <v>62037</v>
      </c>
      <c r="M74" s="17" t="s">
        <v>86</v>
      </c>
      <c r="N74" s="16">
        <v>761</v>
      </c>
      <c r="R74" s="17" t="s">
        <v>78</v>
      </c>
      <c r="S74" s="16">
        <v>11</v>
      </c>
    </row>
    <row r="75" spans="2:19" x14ac:dyDescent="0.3">
      <c r="M75" s="17" t="s">
        <v>80</v>
      </c>
      <c r="N75" s="16">
        <v>1566</v>
      </c>
      <c r="R75" s="17" t="s">
        <v>22</v>
      </c>
      <c r="S75" s="16">
        <v>11</v>
      </c>
    </row>
    <row r="76" spans="2:19" x14ac:dyDescent="0.3">
      <c r="M76" s="17" t="s">
        <v>50</v>
      </c>
      <c r="N76" s="16">
        <v>1431</v>
      </c>
      <c r="R76" s="17" t="s">
        <v>92</v>
      </c>
      <c r="S76" s="16">
        <v>11</v>
      </c>
    </row>
    <row r="77" spans="2:19" x14ac:dyDescent="0.3">
      <c r="M77" s="17" t="s">
        <v>66</v>
      </c>
      <c r="N77" s="16">
        <v>655</v>
      </c>
      <c r="R77" s="17" t="s">
        <v>38</v>
      </c>
      <c r="S77" s="16">
        <v>10</v>
      </c>
    </row>
    <row r="78" spans="2:19" x14ac:dyDescent="0.3">
      <c r="M78" s="17" t="s">
        <v>100</v>
      </c>
      <c r="N78" s="16">
        <v>786</v>
      </c>
      <c r="R78" s="17" t="s">
        <v>89</v>
      </c>
      <c r="S78" s="16">
        <v>10</v>
      </c>
    </row>
    <row r="79" spans="2:19" x14ac:dyDescent="0.3">
      <c r="M79" s="17" t="s">
        <v>46</v>
      </c>
      <c r="N79" s="16">
        <v>176</v>
      </c>
      <c r="R79" s="17" t="s">
        <v>94</v>
      </c>
      <c r="S79" s="16">
        <v>9</v>
      </c>
    </row>
    <row r="80" spans="2:19" x14ac:dyDescent="0.3">
      <c r="M80" s="17" t="s">
        <v>53</v>
      </c>
      <c r="N80" s="16">
        <v>430</v>
      </c>
      <c r="R80" s="17" t="s">
        <v>19</v>
      </c>
      <c r="S80" s="16">
        <v>9</v>
      </c>
    </row>
    <row r="81" spans="13:19" x14ac:dyDescent="0.3">
      <c r="M81" s="17" t="s">
        <v>78</v>
      </c>
      <c r="N81" s="16">
        <v>356</v>
      </c>
      <c r="R81" s="17" t="s">
        <v>71</v>
      </c>
      <c r="S81" s="16">
        <v>9</v>
      </c>
    </row>
    <row r="82" spans="13:19" x14ac:dyDescent="0.3">
      <c r="M82" s="17" t="s">
        <v>76</v>
      </c>
      <c r="N82" s="16">
        <v>1320</v>
      </c>
      <c r="R82" s="17" t="s">
        <v>75</v>
      </c>
      <c r="S82" s="16">
        <v>9</v>
      </c>
    </row>
    <row r="83" spans="13:19" x14ac:dyDescent="0.3">
      <c r="M83" s="17" t="s">
        <v>99</v>
      </c>
      <c r="N83" s="16">
        <v>864</v>
      </c>
      <c r="R83" s="17" t="s">
        <v>46</v>
      </c>
      <c r="S83" s="16">
        <v>8</v>
      </c>
    </row>
    <row r="84" spans="13:19" x14ac:dyDescent="0.3">
      <c r="M84" s="17" t="s">
        <v>123</v>
      </c>
      <c r="N84" s="16">
        <v>62037</v>
      </c>
      <c r="R84" s="17" t="s">
        <v>123</v>
      </c>
      <c r="S84" s="16">
        <v>1775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DC46-3625-4697-9C28-FEB61DB61888}">
  <dimension ref="B3:Q45"/>
  <sheetViews>
    <sheetView topLeftCell="B2" workbookViewId="0">
      <selection activeCell="H19" sqref="H19"/>
    </sheetView>
  </sheetViews>
  <sheetFormatPr defaultRowHeight="14.4" x14ac:dyDescent="0.3"/>
  <cols>
    <col min="2" max="2" width="12.5546875" bestFit="1" customWidth="1"/>
    <col min="3" max="3" width="14.88671875" bestFit="1" customWidth="1"/>
    <col min="5" max="5" width="12.5546875" bestFit="1" customWidth="1"/>
    <col min="6" max="6" width="11.6640625" bestFit="1" customWidth="1"/>
    <col min="7" max="7" width="6.109375" bestFit="1" customWidth="1"/>
    <col min="8" max="8" width="8" bestFit="1" customWidth="1"/>
    <col min="9" max="9" width="10" bestFit="1" customWidth="1"/>
    <col min="10" max="10" width="8.6640625" bestFit="1" customWidth="1"/>
    <col min="11" max="11" width="7.109375" bestFit="1" customWidth="1"/>
    <col min="12" max="12" width="11.33203125" bestFit="1" customWidth="1"/>
    <col min="13" max="13" width="11.44140625" bestFit="1" customWidth="1"/>
    <col min="14" max="14" width="7.6640625" bestFit="1" customWidth="1"/>
    <col min="15" max="15" width="6.33203125" bestFit="1" customWidth="1"/>
    <col min="16" max="16" width="5" bestFit="1" customWidth="1"/>
    <col min="17" max="17" width="10.77734375" bestFit="1" customWidth="1"/>
  </cols>
  <sheetData>
    <row r="3" spans="2:17" x14ac:dyDescent="0.3">
      <c r="B3" t="s">
        <v>144</v>
      </c>
      <c r="E3" t="s">
        <v>145</v>
      </c>
    </row>
    <row r="5" spans="2:17" x14ac:dyDescent="0.3">
      <c r="B5" s="15" t="s">
        <v>125</v>
      </c>
      <c r="C5" t="s">
        <v>127</v>
      </c>
      <c r="E5" s="15" t="s">
        <v>126</v>
      </c>
      <c r="F5" s="15" t="s">
        <v>122</v>
      </c>
    </row>
    <row r="6" spans="2:17" x14ac:dyDescent="0.3">
      <c r="B6" s="17" t="s">
        <v>41</v>
      </c>
      <c r="C6" s="16">
        <v>429.27272727272725</v>
      </c>
      <c r="E6" s="15" t="s">
        <v>125</v>
      </c>
      <c r="F6" t="s">
        <v>41</v>
      </c>
      <c r="G6" t="s">
        <v>49</v>
      </c>
      <c r="H6" t="s">
        <v>26</v>
      </c>
      <c r="I6" t="s">
        <v>14</v>
      </c>
      <c r="J6" t="s">
        <v>20</v>
      </c>
      <c r="K6" t="s">
        <v>59</v>
      </c>
      <c r="L6" t="s">
        <v>37</v>
      </c>
      <c r="M6" t="s">
        <v>32</v>
      </c>
      <c r="N6" t="s">
        <v>7</v>
      </c>
      <c r="O6" t="s">
        <v>54</v>
      </c>
      <c r="P6" t="s">
        <v>45</v>
      </c>
      <c r="Q6" t="s">
        <v>123</v>
      </c>
    </row>
    <row r="7" spans="2:17" x14ac:dyDescent="0.3">
      <c r="B7" s="17" t="s">
        <v>49</v>
      </c>
      <c r="C7" s="16">
        <v>669.16666666666663</v>
      </c>
      <c r="E7" s="17" t="s">
        <v>27</v>
      </c>
      <c r="F7" s="16">
        <v>777</v>
      </c>
      <c r="G7" s="16">
        <v>1453</v>
      </c>
      <c r="H7" s="16">
        <v>3289</v>
      </c>
      <c r="I7" s="16">
        <v>187</v>
      </c>
      <c r="J7" s="16">
        <v>989</v>
      </c>
      <c r="K7" s="16">
        <v>1857</v>
      </c>
      <c r="L7" s="16">
        <v>3399</v>
      </c>
      <c r="M7" s="16">
        <v>1431</v>
      </c>
      <c r="N7" s="16"/>
      <c r="O7" s="16">
        <v>2923</v>
      </c>
      <c r="P7" s="16">
        <v>2868</v>
      </c>
      <c r="Q7" s="16">
        <v>19173</v>
      </c>
    </row>
    <row r="8" spans="2:17" x14ac:dyDescent="0.3">
      <c r="B8" s="17" t="s">
        <v>26</v>
      </c>
      <c r="C8" s="16">
        <v>447.33333333333331</v>
      </c>
      <c r="E8" s="17" t="s">
        <v>15</v>
      </c>
      <c r="F8" s="16">
        <v>356</v>
      </c>
      <c r="G8" s="16">
        <v>199</v>
      </c>
      <c r="H8" s="16"/>
      <c r="I8" s="16">
        <v>1527</v>
      </c>
      <c r="J8" s="16">
        <v>864</v>
      </c>
      <c r="K8" s="16">
        <v>2788</v>
      </c>
      <c r="L8" s="16">
        <v>1001</v>
      </c>
      <c r="M8" s="16">
        <v>1664</v>
      </c>
      <c r="N8" s="16"/>
      <c r="O8" s="16"/>
      <c r="P8" s="16">
        <v>288</v>
      </c>
      <c r="Q8" s="16">
        <v>8687</v>
      </c>
    </row>
    <row r="9" spans="2:17" x14ac:dyDescent="0.3">
      <c r="B9" s="17" t="s">
        <v>14</v>
      </c>
      <c r="C9" s="16">
        <v>407.75</v>
      </c>
      <c r="E9" s="17" t="s">
        <v>8</v>
      </c>
      <c r="F9" s="16">
        <v>1166</v>
      </c>
      <c r="G9" s="16">
        <v>5666</v>
      </c>
      <c r="H9" s="16">
        <v>127</v>
      </c>
      <c r="I9" s="16">
        <v>541</v>
      </c>
      <c r="J9" s="16">
        <v>2961</v>
      </c>
      <c r="K9" s="16"/>
      <c r="L9" s="16">
        <v>699</v>
      </c>
      <c r="M9" s="16">
        <v>2259</v>
      </c>
      <c r="N9" s="16">
        <v>2992</v>
      </c>
      <c r="O9" s="16">
        <v>355</v>
      </c>
      <c r="P9" s="16">
        <v>186</v>
      </c>
      <c r="Q9" s="16">
        <v>16952</v>
      </c>
    </row>
    <row r="10" spans="2:17" x14ac:dyDescent="0.3">
      <c r="B10" s="17" t="s">
        <v>20</v>
      </c>
      <c r="C10" s="16">
        <v>684.25</v>
      </c>
      <c r="E10" s="17" t="s">
        <v>21</v>
      </c>
      <c r="F10" s="16">
        <v>2423</v>
      </c>
      <c r="G10" s="16">
        <v>712</v>
      </c>
      <c r="H10" s="16">
        <v>1952</v>
      </c>
      <c r="I10" s="16">
        <v>2638</v>
      </c>
      <c r="J10" s="16">
        <v>3397</v>
      </c>
      <c r="K10" s="16"/>
      <c r="L10" s="16">
        <v>223</v>
      </c>
      <c r="M10" s="16">
        <v>223</v>
      </c>
      <c r="N10" s="16"/>
      <c r="O10" s="16">
        <v>3953</v>
      </c>
      <c r="P10" s="16">
        <v>1704</v>
      </c>
      <c r="Q10" s="16">
        <v>17225</v>
      </c>
    </row>
    <row r="11" spans="2:17" x14ac:dyDescent="0.3">
      <c r="B11" s="17" t="s">
        <v>59</v>
      </c>
      <c r="C11" s="16">
        <v>387.08333333333331</v>
      </c>
      <c r="E11" s="17" t="s">
        <v>123</v>
      </c>
      <c r="F11" s="16">
        <v>4722</v>
      </c>
      <c r="G11" s="16">
        <v>8030</v>
      </c>
      <c r="H11" s="16">
        <v>5368</v>
      </c>
      <c r="I11" s="16">
        <v>4893</v>
      </c>
      <c r="J11" s="16">
        <v>8211</v>
      </c>
      <c r="K11" s="16">
        <v>4645</v>
      </c>
      <c r="L11" s="16">
        <v>5322</v>
      </c>
      <c r="M11" s="16">
        <v>5577</v>
      </c>
      <c r="N11" s="16">
        <v>2992</v>
      </c>
      <c r="O11" s="16">
        <v>7231</v>
      </c>
      <c r="P11" s="16">
        <v>5046</v>
      </c>
      <c r="Q11" s="16">
        <v>62037</v>
      </c>
    </row>
    <row r="12" spans="2:17" x14ac:dyDescent="0.3">
      <c r="B12" s="17" t="s">
        <v>37</v>
      </c>
      <c r="C12" s="16">
        <v>483.81818181818181</v>
      </c>
    </row>
    <row r="13" spans="2:17" x14ac:dyDescent="0.3">
      <c r="B13" s="17" t="s">
        <v>32</v>
      </c>
      <c r="C13" s="16">
        <v>464.75</v>
      </c>
    </row>
    <row r="14" spans="2:17" x14ac:dyDescent="0.3">
      <c r="B14" s="17" t="s">
        <v>7</v>
      </c>
      <c r="C14" s="16">
        <v>598.4</v>
      </c>
    </row>
    <row r="15" spans="2:17" x14ac:dyDescent="0.3">
      <c r="B15" s="17" t="s">
        <v>54</v>
      </c>
      <c r="C15" s="16">
        <v>556.23076923076928</v>
      </c>
      <c r="E15" t="s">
        <v>146</v>
      </c>
    </row>
    <row r="16" spans="2:17" x14ac:dyDescent="0.3">
      <c r="B16" s="17" t="s">
        <v>45</v>
      </c>
      <c r="C16" s="16">
        <v>458.72727272727275</v>
      </c>
      <c r="E16" s="15" t="s">
        <v>2</v>
      </c>
      <c r="F16" t="s">
        <v>8</v>
      </c>
    </row>
    <row r="17" spans="2:6" x14ac:dyDescent="0.3">
      <c r="B17" s="17" t="s">
        <v>123</v>
      </c>
      <c r="C17" s="16">
        <v>504.36585365853659</v>
      </c>
    </row>
    <row r="18" spans="2:6" x14ac:dyDescent="0.3">
      <c r="E18" s="15" t="s">
        <v>125</v>
      </c>
      <c r="F18" t="s">
        <v>126</v>
      </c>
    </row>
    <row r="19" spans="2:6" x14ac:dyDescent="0.3">
      <c r="E19" s="17" t="s">
        <v>81</v>
      </c>
      <c r="F19" s="16">
        <v>1753</v>
      </c>
    </row>
    <row r="20" spans="2:6" x14ac:dyDescent="0.3">
      <c r="E20" s="17" t="s">
        <v>65</v>
      </c>
      <c r="F20" s="16">
        <v>1196</v>
      </c>
    </row>
    <row r="21" spans="2:6" x14ac:dyDescent="0.3">
      <c r="E21" s="17" t="s">
        <v>52</v>
      </c>
      <c r="F21" s="16">
        <v>1132</v>
      </c>
    </row>
    <row r="22" spans="2:6" x14ac:dyDescent="0.3">
      <c r="E22" s="17" t="s">
        <v>99</v>
      </c>
      <c r="F22" s="16">
        <v>864</v>
      </c>
    </row>
    <row r="23" spans="2:6" x14ac:dyDescent="0.3">
      <c r="E23" s="17" t="s">
        <v>44</v>
      </c>
      <c r="F23" s="16">
        <v>799</v>
      </c>
    </row>
    <row r="24" spans="2:6" x14ac:dyDescent="0.3">
      <c r="E24" s="17" t="s">
        <v>50</v>
      </c>
      <c r="F24" s="16">
        <v>798</v>
      </c>
    </row>
    <row r="25" spans="2:6" x14ac:dyDescent="0.3">
      <c r="E25" s="17" t="s">
        <v>10</v>
      </c>
      <c r="F25" s="16">
        <v>792</v>
      </c>
    </row>
    <row r="26" spans="2:6" x14ac:dyDescent="0.3">
      <c r="E26" s="17" t="s">
        <v>80</v>
      </c>
      <c r="F26" s="16">
        <v>789</v>
      </c>
    </row>
    <row r="27" spans="2:6" x14ac:dyDescent="0.3">
      <c r="E27" s="17" t="s">
        <v>34</v>
      </c>
      <c r="F27" s="16">
        <v>789</v>
      </c>
    </row>
    <row r="28" spans="2:6" x14ac:dyDescent="0.3">
      <c r="E28" s="17" t="s">
        <v>100</v>
      </c>
      <c r="F28" s="16">
        <v>786</v>
      </c>
    </row>
    <row r="29" spans="2:6" x14ac:dyDescent="0.3">
      <c r="E29" s="17" t="s">
        <v>98</v>
      </c>
      <c r="F29" s="16">
        <v>785</v>
      </c>
    </row>
    <row r="30" spans="2:6" x14ac:dyDescent="0.3">
      <c r="E30" s="17" t="s">
        <v>79</v>
      </c>
      <c r="F30" s="16">
        <v>715</v>
      </c>
    </row>
    <row r="31" spans="2:6" x14ac:dyDescent="0.3">
      <c r="E31" s="17" t="s">
        <v>68</v>
      </c>
      <c r="F31" s="16">
        <v>699</v>
      </c>
    </row>
    <row r="32" spans="2:6" x14ac:dyDescent="0.3">
      <c r="E32" s="17" t="s">
        <v>13</v>
      </c>
      <c r="F32" s="16">
        <v>678</v>
      </c>
    </row>
    <row r="33" spans="5:6" x14ac:dyDescent="0.3">
      <c r="E33" s="17" t="s">
        <v>11</v>
      </c>
      <c r="F33" s="16">
        <v>654</v>
      </c>
    </row>
    <row r="34" spans="5:6" x14ac:dyDescent="0.3">
      <c r="E34" s="17" t="s">
        <v>9</v>
      </c>
      <c r="F34" s="16">
        <v>523</v>
      </c>
    </row>
    <row r="35" spans="5:6" x14ac:dyDescent="0.3">
      <c r="E35" s="17" t="s">
        <v>66</v>
      </c>
      <c r="F35" s="16">
        <v>468</v>
      </c>
    </row>
    <row r="36" spans="5:6" x14ac:dyDescent="0.3">
      <c r="E36" s="17" t="s">
        <v>85</v>
      </c>
      <c r="F36" s="16">
        <v>453</v>
      </c>
    </row>
    <row r="37" spans="5:6" x14ac:dyDescent="0.3">
      <c r="E37" s="17" t="s">
        <v>51</v>
      </c>
      <c r="F37" s="16">
        <v>390</v>
      </c>
    </row>
    <row r="38" spans="5:6" x14ac:dyDescent="0.3">
      <c r="E38" s="17" t="s">
        <v>29</v>
      </c>
      <c r="F38" s="16">
        <v>355</v>
      </c>
    </row>
    <row r="39" spans="5:6" x14ac:dyDescent="0.3">
      <c r="E39" s="17" t="s">
        <v>12</v>
      </c>
      <c r="F39" s="16">
        <v>345</v>
      </c>
    </row>
    <row r="40" spans="5:6" x14ac:dyDescent="0.3">
      <c r="E40" s="17" t="s">
        <v>95</v>
      </c>
      <c r="F40" s="16">
        <v>326</v>
      </c>
    </row>
    <row r="41" spans="5:6" x14ac:dyDescent="0.3">
      <c r="E41" s="17" t="s">
        <v>35</v>
      </c>
      <c r="F41" s="16">
        <v>312</v>
      </c>
    </row>
    <row r="42" spans="5:6" x14ac:dyDescent="0.3">
      <c r="E42" s="17" t="s">
        <v>33</v>
      </c>
      <c r="F42" s="16">
        <v>213</v>
      </c>
    </row>
    <row r="43" spans="5:6" x14ac:dyDescent="0.3">
      <c r="E43" s="17" t="s">
        <v>53</v>
      </c>
      <c r="F43" s="16">
        <v>211</v>
      </c>
    </row>
    <row r="44" spans="5:6" x14ac:dyDescent="0.3">
      <c r="E44" s="17" t="s">
        <v>71</v>
      </c>
      <c r="F44" s="16">
        <v>127</v>
      </c>
    </row>
    <row r="45" spans="5:6" x14ac:dyDescent="0.3">
      <c r="E45" s="17" t="s">
        <v>123</v>
      </c>
      <c r="F45" s="16">
        <v>16952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Case Study</vt:lpstr>
      <vt:lpstr>Q1toQ3</vt:lpstr>
      <vt:lpstr>q4toq10</vt:lpstr>
      <vt:lpstr>q11to19</vt:lpstr>
      <vt:lpstr>q20to22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priti Gaikwad</cp:lastModifiedBy>
  <dcterms:created xsi:type="dcterms:W3CDTF">2024-01-16T06:46:50Z</dcterms:created>
  <dcterms:modified xsi:type="dcterms:W3CDTF">2025-09-25T08:48:53Z</dcterms:modified>
</cp:coreProperties>
</file>